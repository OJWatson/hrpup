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medaccessorg-my.sharepoint.com/personal/amustetea_medaccess_org/Documents/Desktop/"/>
    </mc:Choice>
  </mc:AlternateContent>
  <xr:revisionPtr revIDLastSave="0" documentId="8_{EE09EA6B-510A-46B5-A244-B0B242AA7CFD}" xr6:coauthVersionLast="47" xr6:coauthVersionMax="47" xr10:uidLastSave="{00000000-0000-0000-0000-000000000000}"/>
  <bookViews>
    <workbookView xWindow="28680" yWindow="-120" windowWidth="29040" windowHeight="15720" xr2:uid="{6A222452-F708-4FE0-91C6-FB48F7A1A1E8}"/>
  </bookViews>
  <sheets>
    <sheet name="Adoption" sheetId="1" r:id="rId1"/>
  </sheets>
  <externalReferences>
    <externalReference r:id="rId2"/>
  </externalReferences>
  <definedNames>
    <definedName name="case">[1]Control!$B$5</definedName>
    <definedName name="PQR_Data">#REF!</definedName>
    <definedName name="_xlnm.Print_Area" localSheetId="0">Adoption!$A$1:$AN$146</definedName>
    <definedName name="_xlnm.Print_Titles" localSheetId="0">Adoption!$A:$E,Adoption!$1:$3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V3" i="1" l="1"/>
  <c r="U3" i="1"/>
  <c r="E3" i="1"/>
  <c r="D3" i="1"/>
  <c r="W3" i="1" l="1"/>
  <c r="X3" i="1" l="1"/>
  <c r="Y3" i="1" l="1"/>
  <c r="Z3" i="1" l="1"/>
  <c r="AA3" i="1" l="1"/>
  <c r="AB3" i="1" l="1"/>
  <c r="AC3" i="1" l="1"/>
  <c r="AD3" i="1" l="1"/>
  <c r="AE3" i="1" l="1"/>
  <c r="AF3" i="1" l="1"/>
  <c r="AG3" i="1" l="1"/>
  <c r="AH3" i="1" l="1"/>
  <c r="AI3" i="1" l="1"/>
  <c r="AJ3" i="1" l="1"/>
  <c r="AK3" i="1" l="1"/>
  <c r="AL3" i="1" l="1"/>
  <c r="AM3" i="1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Alex Mustetea</author>
  </authors>
  <commentList>
    <comment ref="N67" authorId="0" shapeId="0" xr:uid="{10A7611F-57DB-4F22-B97E-9D3014E562FD}">
      <text>
        <r>
          <rPr>
            <b/>
            <sz val="9"/>
            <color indexed="81"/>
            <rFont val="Tahoma"/>
            <family val="2"/>
          </rPr>
          <t>Alex Mustetea:</t>
        </r>
        <r>
          <rPr>
            <sz val="9"/>
            <color indexed="81"/>
            <rFont val="Tahoma"/>
            <family val="2"/>
          </rPr>
          <t xml:space="preserve">
Ethiopia has already fully switched to novel mRDTs</t>
        </r>
      </text>
    </comment>
    <comment ref="T67" authorId="0" shapeId="0" xr:uid="{14AEBC7F-9B1E-4598-822D-549A892285C2}">
      <text>
        <r>
          <rPr>
            <b/>
            <sz val="9"/>
            <color indexed="81"/>
            <rFont val="Tahoma"/>
            <family val="2"/>
          </rPr>
          <t>Alex Mustetea:</t>
        </r>
        <r>
          <rPr>
            <sz val="9"/>
            <color indexed="81"/>
            <rFont val="Tahoma"/>
            <family val="2"/>
          </rPr>
          <t xml:space="preserve">
Ethiopia has already fully switched to novel mRDTs</t>
        </r>
      </text>
    </comment>
    <comment ref="N74" authorId="0" shapeId="0" xr:uid="{18FE771A-0B2E-4F2F-A73B-9DCBFE24A4ED}">
      <text>
        <r>
          <rPr>
            <b/>
            <sz val="9"/>
            <color indexed="81"/>
            <rFont val="Tahoma"/>
            <family val="2"/>
          </rPr>
          <t>Alex Mustetea:</t>
        </r>
        <r>
          <rPr>
            <sz val="9"/>
            <color indexed="81"/>
            <rFont val="Tahoma"/>
            <family val="2"/>
          </rPr>
          <t xml:space="preserve">
Ethiopia has already fully switched to novel mRDTs</t>
        </r>
      </text>
    </comment>
  </commentList>
</comments>
</file>

<file path=xl/sharedStrings.xml><?xml version="1.0" encoding="utf-8"?>
<sst xmlns="http://schemas.openxmlformats.org/spreadsheetml/2006/main" count="138" uniqueCount="40">
  <si>
    <t>mRDT Demand Forecast Model</t>
  </si>
  <si>
    <t>Adoption</t>
  </si>
  <si>
    <t>Active case</t>
  </si>
  <si>
    <t>A) Priority countries</t>
  </si>
  <si>
    <t>South Sudan</t>
  </si>
  <si>
    <t>Ghana</t>
  </si>
  <si>
    <t>Uganda</t>
  </si>
  <si>
    <t>Nigeria</t>
  </si>
  <si>
    <t>Democratic Republic of the Congo</t>
  </si>
  <si>
    <t>Kenya</t>
  </si>
  <si>
    <t>Zambia</t>
  </si>
  <si>
    <t>Mali</t>
  </si>
  <si>
    <t>Pf-only - Priority countries</t>
  </si>
  <si>
    <t>Ethiopia</t>
  </si>
  <si>
    <t>Eritrea</t>
  </si>
  <si>
    <t>Djibouti</t>
  </si>
  <si>
    <t>Pf/Pv - Priority countries</t>
  </si>
  <si>
    <t>SDB entry</t>
  </si>
  <si>
    <t>2nd ERPD</t>
  </si>
  <si>
    <t>SDB PQ</t>
  </si>
  <si>
    <t>2nd PQ</t>
  </si>
  <si>
    <t>n/a</t>
  </si>
  <si>
    <t>Summary</t>
  </si>
  <si>
    <t>Pf-only</t>
  </si>
  <si>
    <t>Pf/Pv</t>
  </si>
  <si>
    <t>Adoption - Priority countries</t>
  </si>
  <si>
    <t>B) Non-priority countries</t>
  </si>
  <si>
    <t>Step size</t>
  </si>
  <si>
    <t>WHO upd.</t>
  </si>
  <si>
    <t>Step 2</t>
  </si>
  <si>
    <t>Step 3</t>
  </si>
  <si>
    <t>Step 4</t>
  </si>
  <si>
    <t>Step length</t>
  </si>
  <si>
    <t>Adoption - Non-priority countries</t>
  </si>
  <si>
    <t>C) Total market</t>
  </si>
  <si>
    <t>Total Adoption</t>
  </si>
  <si>
    <t>Pf-only - GF</t>
  </si>
  <si>
    <t>Pf-only - PMI</t>
  </si>
  <si>
    <t>Pf/Pv - GF</t>
  </si>
  <si>
    <t>Pf/Pv - PMI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</si>
</sst>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164" formatCode="#,##0.0\ \ ;\(#,##0.0\);\–\ \ "/>
    <numFmt numFmtId="165" formatCode="#,##0.0,\ \ ;\(#,##0.0,\)\ ;\−\ \ "/>
    <numFmt numFmtId="166" formatCode="0000"/>
    <numFmt numFmtId="167" formatCode="mmm\-yyyy"/>
    <numFmt numFmtId="168" formatCode="0;\(0\);\–"/>
    <numFmt numFmtId="169" formatCode="#,##0.0,,\ \ ;\(#,##0.0,,\);\–\ \ "/>
    <numFmt numFmtId="170" formatCode="#,##0,\ ;\(#,##0\);\–\ "/>
    <numFmt numFmtId="171" formatCode="0\ %;\(0\)%;\–"/>
  </numFmts>
  <fonts count="13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i/>
      <sz val="11"/>
      <color theme="1"/>
      <name val="Aptos Narrow"/>
      <family val="2"/>
      <scheme val="minor"/>
    </font>
    <font>
      <sz val="11"/>
      <color rgb="FF008000"/>
      <name val="Aptos Narrow"/>
      <family val="2"/>
      <scheme val="minor"/>
    </font>
    <font>
      <b/>
      <sz val="11"/>
      <color rgb="FF00B400"/>
      <name val="Aptos Narrow"/>
      <family val="2"/>
      <scheme val="minor"/>
    </font>
    <font>
      <b/>
      <i/>
      <sz val="11"/>
      <color theme="1"/>
      <name val="Aptos Narrow"/>
      <family val="2"/>
      <scheme val="minor"/>
    </font>
    <font>
      <sz val="11"/>
      <name val="Aptos Narrow"/>
      <family val="2"/>
      <scheme val="minor"/>
    </font>
    <font>
      <b/>
      <sz val="11"/>
      <name val="Aptos Narrow"/>
      <family val="2"/>
      <scheme val="minor"/>
    </font>
    <font>
      <sz val="11"/>
      <color rgb="FF0000FF"/>
      <name val="Aptos Narrow"/>
      <family val="2"/>
      <scheme val="minor"/>
    </font>
    <font>
      <b/>
      <u/>
      <sz val="11"/>
      <color theme="1"/>
      <name val="Aptos Narrow"/>
      <family val="2"/>
      <scheme val="minor"/>
    </font>
    <font>
      <b/>
      <sz val="9"/>
      <color indexed="81"/>
      <name val="Tahoma"/>
      <family val="2"/>
    </font>
    <font>
      <sz val="9"/>
      <color indexed="81"/>
      <name val="Tahoma"/>
      <family val="2"/>
    </font>
  </fonts>
  <fills count="3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5">
    <xf numFmtId="164" fontId="0" fillId="0" borderId="0"/>
    <xf numFmtId="171" fontId="1" fillId="0" borderId="0" applyFill="0" applyBorder="0" applyAlignment="0" applyProtection="0"/>
    <xf numFmtId="165" fontId="4" fillId="0" borderId="0" applyNumberFormat="0" applyFill="0" applyBorder="0" applyAlignment="0" applyProtection="0"/>
    <xf numFmtId="166" fontId="1" fillId="0" borderId="0" applyFont="0" applyFill="0" applyBorder="0" applyAlignment="0" applyProtection="0"/>
    <xf numFmtId="170" fontId="9" fillId="0" borderId="0" applyNumberFormat="0" applyFill="0" applyBorder="0" applyAlignment="0" applyProtection="0"/>
  </cellStyleXfs>
  <cellXfs count="42">
    <xf numFmtId="164" fontId="0" fillId="0" borderId="0" xfId="0"/>
    <xf numFmtId="164" fontId="2" fillId="0" borderId="0" xfId="0" applyFont="1"/>
    <xf numFmtId="164" fontId="3" fillId="0" borderId="0" xfId="0" applyFont="1"/>
    <xf numFmtId="164" fontId="0" fillId="0" borderId="1" xfId="0" applyBorder="1"/>
    <xf numFmtId="164" fontId="2" fillId="0" borderId="1" xfId="0" applyFont="1" applyBorder="1"/>
    <xf numFmtId="0" fontId="5" fillId="0" borderId="2" xfId="2" applyNumberFormat="1" applyFont="1" applyBorder="1" applyAlignment="1">
      <alignment horizontal="center"/>
    </xf>
    <xf numFmtId="0" fontId="5" fillId="0" borderId="2" xfId="2" applyNumberFormat="1" applyFont="1" applyBorder="1"/>
    <xf numFmtId="0" fontId="5" fillId="0" borderId="1" xfId="2" applyNumberFormat="1" applyFont="1" applyBorder="1"/>
    <xf numFmtId="166" fontId="2" fillId="0" borderId="1" xfId="3" applyFont="1" applyBorder="1"/>
    <xf numFmtId="167" fontId="2" fillId="2" borderId="1" xfId="0" applyNumberFormat="1" applyFont="1" applyFill="1" applyBorder="1"/>
    <xf numFmtId="167" fontId="2" fillId="0" borderId="1" xfId="0" applyNumberFormat="1" applyFont="1" applyBorder="1"/>
    <xf numFmtId="164" fontId="0" fillId="2" borderId="0" xfId="0" applyFill="1"/>
    <xf numFmtId="164" fontId="6" fillId="0" borderId="0" xfId="0" applyFont="1"/>
    <xf numFmtId="168" fontId="4" fillId="0" borderId="0" xfId="0" applyNumberFormat="1" applyFont="1" applyAlignment="1">
      <alignment horizontal="right"/>
    </xf>
    <xf numFmtId="169" fontId="4" fillId="0" borderId="0" xfId="2" applyNumberFormat="1"/>
    <xf numFmtId="169" fontId="7" fillId="2" borderId="0" xfId="2" applyNumberFormat="1" applyFont="1" applyFill="1"/>
    <xf numFmtId="169" fontId="7" fillId="0" borderId="0" xfId="2" applyNumberFormat="1" applyFont="1"/>
    <xf numFmtId="168" fontId="0" fillId="0" borderId="0" xfId="0" applyNumberFormat="1" applyAlignment="1">
      <alignment horizontal="right"/>
    </xf>
    <xf numFmtId="169" fontId="8" fillId="0" borderId="0" xfId="2" applyNumberFormat="1" applyFont="1"/>
    <xf numFmtId="169" fontId="8" fillId="2" borderId="0" xfId="2" applyNumberFormat="1" applyFont="1" applyFill="1"/>
    <xf numFmtId="168" fontId="8" fillId="0" borderId="0" xfId="0" applyNumberFormat="1" applyFont="1" applyAlignment="1">
      <alignment horizontal="right"/>
    </xf>
    <xf numFmtId="167" fontId="4" fillId="0" borderId="0" xfId="2" applyNumberFormat="1" applyBorder="1"/>
    <xf numFmtId="167" fontId="9" fillId="0" borderId="0" xfId="4" applyNumberFormat="1" applyBorder="1"/>
    <xf numFmtId="171" fontId="4" fillId="0" borderId="0" xfId="2" applyNumberFormat="1" applyBorder="1"/>
    <xf numFmtId="171" fontId="1" fillId="2" borderId="0" xfId="1" applyFill="1"/>
    <xf numFmtId="171" fontId="1" fillId="0" borderId="0" xfId="1"/>
    <xf numFmtId="167" fontId="4" fillId="0" borderId="0" xfId="2" applyNumberFormat="1" applyFill="1" applyBorder="1"/>
    <xf numFmtId="171" fontId="9" fillId="0" borderId="0" xfId="4" applyNumberFormat="1" applyFill="1" applyBorder="1" applyAlignment="1">
      <alignment horizontal="right"/>
    </xf>
    <xf numFmtId="171" fontId="7" fillId="0" borderId="0" xfId="4" applyNumberFormat="1" applyFont="1" applyBorder="1"/>
    <xf numFmtId="171" fontId="9" fillId="2" borderId="0" xfId="4" applyNumberFormat="1" applyFill="1" applyBorder="1"/>
    <xf numFmtId="171" fontId="4" fillId="0" borderId="0" xfId="2" applyNumberFormat="1" applyFill="1" applyBorder="1"/>
    <xf numFmtId="171" fontId="9" fillId="0" borderId="0" xfId="4" applyNumberFormat="1" applyBorder="1"/>
    <xf numFmtId="171" fontId="7" fillId="0" borderId="0" xfId="4" applyNumberFormat="1" applyFont="1" applyFill="1" applyBorder="1"/>
    <xf numFmtId="164" fontId="10" fillId="0" borderId="0" xfId="0" applyFont="1"/>
    <xf numFmtId="164" fontId="0" fillId="0" borderId="0" xfId="0" applyAlignment="1">
      <alignment horizontal="left" indent="1"/>
    </xf>
    <xf numFmtId="171" fontId="2" fillId="2" borderId="0" xfId="1" applyFont="1" applyFill="1"/>
    <xf numFmtId="171" fontId="2" fillId="0" borderId="0" xfId="1" applyFont="1"/>
    <xf numFmtId="168" fontId="8" fillId="0" borderId="0" xfId="0" applyNumberFormat="1" applyFont="1"/>
    <xf numFmtId="171" fontId="4" fillId="0" borderId="0" xfId="2" applyNumberFormat="1"/>
    <xf numFmtId="167" fontId="4" fillId="0" borderId="0" xfId="2" applyNumberFormat="1" applyBorder="1" applyAlignment="1">
      <alignment horizontal="left" indent="1"/>
    </xf>
    <xf numFmtId="167" fontId="7" fillId="0" borderId="0" xfId="2" applyNumberFormat="1" applyFont="1" applyBorder="1" applyAlignment="1">
      <alignment horizontal="left" indent="1"/>
    </xf>
    <xf numFmtId="164" fontId="4" fillId="0" borderId="0" xfId="2" applyNumberFormat="1" applyAlignment="1">
      <alignment horizontal="left" indent="1"/>
    </xf>
  </cellXfs>
  <cellStyles count="5">
    <cellStyle name="Hardcode" xfId="4" xr:uid="{3D66E10E-97F3-4145-9BB1-C6598BCEA130}"/>
    <cellStyle name="Link-to" xfId="2" xr:uid="{EA2A23FE-CD70-4BA5-9E34-96AFDDC319E4}"/>
    <cellStyle name="Normal" xfId="0" builtinId="0"/>
    <cellStyle name="Per cent" xfId="1" builtinId="5"/>
    <cellStyle name="Year" xfId="3" xr:uid="{27095481-717E-41F5-9978-03C910E80E6C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medaccessorg.sharepoint.com/sites/MGL/Shared%20Documents/Health%20Investment/Infectious%20Diseases/Malaria/4%20Dx%20-%20Diagnostics/mRDTs/3.%20Analysis/MGL%20model/2024%2012%2016%20mRDT%20Risk%20Model_v1.xlsx" TargetMode="External"/><Relationship Id="rId1" Type="http://schemas.openxmlformats.org/officeDocument/2006/relationships/externalLinkPath" Target="https://medaccessorg.sharepoint.com/sites/MGL/Shared%20Documents/Health%20Investment/Infectious%20Diseases/Malaria/4%20Dx%20-%20Diagnostics/mRDTs/3.%20Analysis/MGL%20model/2024%2012%2016%20mRDT%20Risk%20Model_v1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Cover"/>
      <sheetName val="Model&gt;&gt;"/>
      <sheetName val="Control"/>
      <sheetName val="TAM"/>
      <sheetName val="Adoption"/>
      <sheetName val="Allocation_Pf"/>
      <sheetName val="Allocation Pf-Pv"/>
      <sheetName val="Supplier vols"/>
      <sheetName val="VG Assessment"/>
      <sheetName val="Analyses&gt;&gt;"/>
      <sheetName val="Test type"/>
      <sheetName val="Procurer"/>
      <sheetName val="Pricing"/>
      <sheetName val="US election"/>
      <sheetName val="GF"/>
      <sheetName val="Inputs &gt;&gt;"/>
      <sheetName val="GF-PMI"/>
      <sheetName val="Pop"/>
      <sheetName val="Suspect"/>
      <sheetName val="Deletions Timing"/>
      <sheetName val="Usage"/>
    </sheetNames>
    <sheetDataSet>
      <sheetData sheetId="0"/>
      <sheetData sheetId="1"/>
      <sheetData sheetId="2">
        <row r="5">
          <cell r="B5">
            <v>2</v>
          </cell>
          <cell r="C5" t="str">
            <v>Case 2</v>
          </cell>
        </row>
      </sheetData>
      <sheetData sheetId="3">
        <row r="22">
          <cell r="C22" t="str">
            <v>Pf-only - GF</v>
          </cell>
        </row>
      </sheetData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A85169-3391-49CF-8658-E612FB0F44A3}">
  <sheetPr>
    <tabColor theme="3" tint="0.89999084444715716"/>
    <pageSetUpPr fitToPage="1"/>
  </sheetPr>
  <dimension ref="A1:AM148"/>
  <sheetViews>
    <sheetView showGridLines="0" tabSelected="1" view="pageBreakPreview" zoomScale="55" zoomScaleNormal="100" zoomScaleSheetLayoutView="55" workbookViewId="0">
      <pane xSplit="3" ySplit="3" topLeftCell="D94" activePane="bottomRight" state="frozen"/>
      <selection pane="topRight" activeCell="D1" sqref="D1"/>
      <selection pane="bottomLeft" activeCell="A4" sqref="A4"/>
      <selection pane="bottomRight" activeCell="B5" sqref="B5:AM145"/>
    </sheetView>
  </sheetViews>
  <sheetFormatPr defaultRowHeight="15" outlineLevelCol="1" x14ac:dyDescent="0.25"/>
  <cols>
    <col min="1" max="1" width="4.7109375" customWidth="1"/>
    <col min="2" max="4" width="3.28515625" customWidth="1"/>
    <col min="5" max="5" width="22.42578125" customWidth="1"/>
    <col min="6" max="12" width="5.42578125" hidden="1" customWidth="1" outlineLevel="1"/>
    <col min="13" max="13" width="9.5703125" customWidth="1" collapsed="1"/>
    <col min="14" max="18" width="10.28515625" customWidth="1"/>
    <col min="19" max="19" width="3.28515625" customWidth="1"/>
    <col min="20" max="20" width="8.5703125" bestFit="1" customWidth="1"/>
    <col min="21" max="21" width="8.7109375" bestFit="1" customWidth="1"/>
    <col min="22" max="22" width="8.140625" bestFit="1" customWidth="1"/>
    <col min="23" max="23" width="8.85546875" bestFit="1" customWidth="1"/>
    <col min="24" max="24" width="8.5703125" bestFit="1" customWidth="1"/>
    <col min="25" max="25" width="8.7109375" bestFit="1" customWidth="1"/>
    <col min="26" max="26" width="8.140625" bestFit="1" customWidth="1"/>
    <col min="27" max="27" width="8.85546875" bestFit="1" customWidth="1"/>
    <col min="28" max="28" width="8.5703125" bestFit="1" customWidth="1"/>
    <col min="29" max="29" width="8.7109375" bestFit="1" customWidth="1"/>
    <col min="30" max="30" width="8.140625" bestFit="1" customWidth="1"/>
    <col min="31" max="31" width="8.85546875" bestFit="1" customWidth="1"/>
    <col min="32" max="32" width="8.5703125" bestFit="1" customWidth="1"/>
    <col min="33" max="33" width="8.7109375" bestFit="1" customWidth="1"/>
    <col min="34" max="34" width="8.140625" bestFit="1" customWidth="1"/>
    <col min="35" max="35" width="8.85546875" bestFit="1" customWidth="1"/>
    <col min="36" max="36" width="8.5703125" customWidth="1" outlineLevel="1"/>
    <col min="37" max="37" width="8.7109375" customWidth="1" outlineLevel="1"/>
    <col min="38" max="38" width="8.140625" customWidth="1" outlineLevel="1"/>
    <col min="39" max="39" width="8.85546875" customWidth="1" outlineLevel="1"/>
    <col min="40" max="40" width="2.42578125" customWidth="1"/>
  </cols>
  <sheetData>
    <row r="1" spans="1:39" x14ac:dyDescent="0.25">
      <c r="A1" s="1" t="s">
        <v>0</v>
      </c>
    </row>
    <row r="2" spans="1:39" x14ac:dyDescent="0.25">
      <c r="A2" s="2" t="s">
        <v>1</v>
      </c>
    </row>
    <row r="3" spans="1:39" s="4" customFormat="1" x14ac:dyDescent="0.25">
      <c r="A3" s="3" t="s">
        <v>2</v>
      </c>
      <c r="D3" s="5">
        <f>[1]Control!B5</f>
        <v>2</v>
      </c>
      <c r="E3" s="6" t="str">
        <f>[1]Control!C5</f>
        <v>Case 2</v>
      </c>
      <c r="F3" s="7"/>
      <c r="G3" s="7"/>
      <c r="H3" s="7"/>
      <c r="I3" s="7"/>
      <c r="J3" s="7"/>
      <c r="K3" s="7"/>
      <c r="L3" s="7"/>
      <c r="M3" s="7"/>
      <c r="N3" s="8">
        <v>2025</v>
      </c>
      <c r="O3" s="8">
        <v>2026</v>
      </c>
      <c r="P3" s="8">
        <v>2027</v>
      </c>
      <c r="Q3" s="8">
        <v>2028</v>
      </c>
      <c r="R3" s="8">
        <v>2029</v>
      </c>
      <c r="T3" s="9">
        <v>45658</v>
      </c>
      <c r="U3" s="9">
        <f>EDATE(T3,3)</f>
        <v>45748</v>
      </c>
      <c r="V3" s="9">
        <f t="shared" ref="V3:AM3" si="0">EDATE(U3,3)</f>
        <v>45839</v>
      </c>
      <c r="W3" s="9">
        <f t="shared" si="0"/>
        <v>45931</v>
      </c>
      <c r="X3" s="10">
        <f t="shared" si="0"/>
        <v>46023</v>
      </c>
      <c r="Y3" s="10">
        <f t="shared" si="0"/>
        <v>46113</v>
      </c>
      <c r="Z3" s="10">
        <f t="shared" si="0"/>
        <v>46204</v>
      </c>
      <c r="AA3" s="10">
        <f t="shared" si="0"/>
        <v>46296</v>
      </c>
      <c r="AB3" s="9">
        <f t="shared" si="0"/>
        <v>46388</v>
      </c>
      <c r="AC3" s="9">
        <f t="shared" si="0"/>
        <v>46478</v>
      </c>
      <c r="AD3" s="9">
        <f t="shared" si="0"/>
        <v>46569</v>
      </c>
      <c r="AE3" s="9">
        <f t="shared" si="0"/>
        <v>46661</v>
      </c>
      <c r="AF3" s="10">
        <f t="shared" si="0"/>
        <v>46753</v>
      </c>
      <c r="AG3" s="10">
        <f t="shared" si="0"/>
        <v>46844</v>
      </c>
      <c r="AH3" s="10">
        <f t="shared" si="0"/>
        <v>46935</v>
      </c>
      <c r="AI3" s="10">
        <f t="shared" si="0"/>
        <v>47027</v>
      </c>
      <c r="AJ3" s="9">
        <f t="shared" si="0"/>
        <v>47119</v>
      </c>
      <c r="AK3" s="9">
        <f t="shared" si="0"/>
        <v>47209</v>
      </c>
      <c r="AL3" s="9">
        <f t="shared" si="0"/>
        <v>47300</v>
      </c>
      <c r="AM3" s="9">
        <f t="shared" si="0"/>
        <v>47392</v>
      </c>
    </row>
    <row r="4" spans="1:39" x14ac:dyDescent="0.25">
      <c r="T4" s="11"/>
      <c r="U4" s="11"/>
      <c r="V4" s="11"/>
      <c r="W4" s="11"/>
      <c r="AB4" s="11"/>
      <c r="AC4" s="11"/>
      <c r="AD4" s="11"/>
      <c r="AE4" s="11"/>
      <c r="AJ4" s="11"/>
      <c r="AK4" s="11"/>
      <c r="AL4" s="11"/>
      <c r="AM4" s="11"/>
    </row>
    <row r="5" spans="1:39" x14ac:dyDescent="0.25">
      <c r="B5" s="1" t="s">
        <v>3</v>
      </c>
      <c r="T5" s="11"/>
      <c r="U5" s="11"/>
      <c r="V5" s="11"/>
      <c r="W5" s="11"/>
      <c r="AB5" s="11"/>
      <c r="AC5" s="11"/>
      <c r="AD5" s="11"/>
      <c r="AE5" s="11"/>
      <c r="AJ5" s="11"/>
      <c r="AK5" s="11"/>
      <c r="AL5" s="11"/>
      <c r="AM5" s="11"/>
    </row>
    <row r="6" spans="1:39" x14ac:dyDescent="0.25">
      <c r="C6" s="12" t="s">
        <v>36</v>
      </c>
      <c r="N6" s="13"/>
      <c r="T6" s="11"/>
      <c r="U6" s="11"/>
      <c r="V6" s="11"/>
      <c r="W6" s="11"/>
      <c r="AB6" s="11"/>
      <c r="AC6" s="11"/>
      <c r="AD6" s="11"/>
      <c r="AE6" s="11"/>
      <c r="AJ6" s="11"/>
      <c r="AK6" s="11"/>
      <c r="AL6" s="11"/>
      <c r="AM6" s="11"/>
    </row>
    <row r="7" spans="1:39" x14ac:dyDescent="0.25">
      <c r="C7" t="s">
        <v>4</v>
      </c>
      <c r="N7" s="14">
        <v>503614.35618330527</v>
      </c>
      <c r="O7" s="14">
        <v>513782.99766225141</v>
      </c>
      <c r="P7" s="14">
        <v>524252.21438060596</v>
      </c>
      <c r="Q7" s="14">
        <v>534756.15459232172</v>
      </c>
      <c r="R7" s="14">
        <v>545470.02169298835</v>
      </c>
      <c r="T7" s="15">
        <v>160287.58487129147</v>
      </c>
      <c r="U7" s="15">
        <v>117511.82130618833</v>
      </c>
      <c r="V7" s="15">
        <v>88508.637855359397</v>
      </c>
      <c r="W7" s="15">
        <v>137306.31215046605</v>
      </c>
      <c r="X7" s="16">
        <v>163524.0036986552</v>
      </c>
      <c r="Y7" s="16">
        <v>119884.54076052747</v>
      </c>
      <c r="Z7" s="16">
        <v>90295.744587109206</v>
      </c>
      <c r="AA7" s="16">
        <v>140078.70861595951</v>
      </c>
      <c r="AB7" s="15">
        <v>166856.08794660386</v>
      </c>
      <c r="AC7" s="15">
        <v>122327.39551460293</v>
      </c>
      <c r="AD7" s="15">
        <v>92135.676471054248</v>
      </c>
      <c r="AE7" s="15">
        <v>142933.05444834489</v>
      </c>
      <c r="AF7" s="16">
        <v>170199.2237954865</v>
      </c>
      <c r="AG7" s="16">
        <v>124778.35254157211</v>
      </c>
      <c r="AH7" s="16">
        <v>93981.710899657206</v>
      </c>
      <c r="AI7" s="16">
        <v>145796.86735560585</v>
      </c>
      <c r="AJ7" s="15">
        <v>173609.17401059272</v>
      </c>
      <c r="AK7" s="15">
        <v>127278.29326163676</v>
      </c>
      <c r="AL7" s="15">
        <v>95864.639318199363</v>
      </c>
      <c r="AM7" s="15">
        <v>148717.91510255949</v>
      </c>
    </row>
    <row r="8" spans="1:39" x14ac:dyDescent="0.25">
      <c r="C8" t="s">
        <v>5</v>
      </c>
      <c r="N8" s="14">
        <v>8820999.3149721492</v>
      </c>
      <c r="O8" s="14">
        <v>8982410.0024613999</v>
      </c>
      <c r="P8" s="14">
        <v>9142540.9402229283</v>
      </c>
      <c r="Q8" s="14">
        <v>9302642.4292702321</v>
      </c>
      <c r="R8" s="14">
        <v>9462948.5361077636</v>
      </c>
      <c r="T8" s="15">
        <v>2807498.7517503831</v>
      </c>
      <c r="U8" s="15">
        <v>2058264.7863710343</v>
      </c>
      <c r="V8" s="15">
        <v>1550262.8634499689</v>
      </c>
      <c r="W8" s="15">
        <v>2404972.9134007627</v>
      </c>
      <c r="X8" s="16">
        <v>2858871.6503828634</v>
      </c>
      <c r="Y8" s="16">
        <v>2095927.8585854452</v>
      </c>
      <c r="Z8" s="16">
        <v>1578630.2836983518</v>
      </c>
      <c r="AA8" s="16">
        <v>2448980.2097947393</v>
      </c>
      <c r="AB8" s="15">
        <v>2909837.237367894</v>
      </c>
      <c r="AC8" s="15">
        <v>2133292.317943661</v>
      </c>
      <c r="AD8" s="15">
        <v>1606772.7919603989</v>
      </c>
      <c r="AE8" s="15">
        <v>2492638.5929509741</v>
      </c>
      <c r="AF8" s="16">
        <v>2960793.4515794469</v>
      </c>
      <c r="AG8" s="16">
        <v>2170649.9058296853</v>
      </c>
      <c r="AH8" s="16">
        <v>1634910.1247036178</v>
      </c>
      <c r="AI8" s="16">
        <v>2536288.9471574817</v>
      </c>
      <c r="AJ8" s="15">
        <v>3011814.7904067193</v>
      </c>
      <c r="AK8" s="15">
        <v>2208055.2386000762</v>
      </c>
      <c r="AL8" s="15">
        <v>1663083.4183793869</v>
      </c>
      <c r="AM8" s="15">
        <v>2579995.0887215803</v>
      </c>
    </row>
    <row r="9" spans="1:39" x14ac:dyDescent="0.25">
      <c r="C9" t="s">
        <v>6</v>
      </c>
      <c r="N9" s="14">
        <v>33389489.154066183</v>
      </c>
      <c r="O9" s="14">
        <v>34294137.318339951</v>
      </c>
      <c r="P9" s="14">
        <v>35202699.510266714</v>
      </c>
      <c r="Q9" s="14">
        <v>36115550.47016862</v>
      </c>
      <c r="R9" s="14">
        <v>37031334.151783288</v>
      </c>
      <c r="T9" s="15">
        <v>10627021.471650543</v>
      </c>
      <c r="U9" s="15">
        <v>7791000.4645487247</v>
      </c>
      <c r="V9" s="15">
        <v>5868097.6176085044</v>
      </c>
      <c r="W9" s="15">
        <v>9103369.60025841</v>
      </c>
      <c r="X9" s="16">
        <v>10914947.873329433</v>
      </c>
      <c r="Y9" s="16">
        <v>8002088.2783091748</v>
      </c>
      <c r="Z9" s="16">
        <v>6027086.6848881496</v>
      </c>
      <c r="AA9" s="16">
        <v>9350014.4818131924</v>
      </c>
      <c r="AB9" s="15">
        <v>11204120.01002742</v>
      </c>
      <c r="AC9" s="15">
        <v>8214089.3792158291</v>
      </c>
      <c r="AD9" s="15">
        <v>6186763.6302074911</v>
      </c>
      <c r="AE9" s="15">
        <v>9597726.4908159729</v>
      </c>
      <c r="AF9" s="16">
        <v>11494657.152016398</v>
      </c>
      <c r="AG9" s="16">
        <v>8427091.2080201916</v>
      </c>
      <c r="AH9" s="16">
        <v>6347194.3129985658</v>
      </c>
      <c r="AI9" s="16">
        <v>9846607.7971334644</v>
      </c>
      <c r="AJ9" s="15">
        <v>11786127.704410911</v>
      </c>
      <c r="AK9" s="15">
        <v>8640777.349067878</v>
      </c>
      <c r="AL9" s="15">
        <v>6508140.4123992315</v>
      </c>
      <c r="AM9" s="15">
        <v>10096288.685905267</v>
      </c>
    </row>
    <row r="10" spans="1:39" x14ac:dyDescent="0.25">
      <c r="C10" t="s">
        <v>7</v>
      </c>
      <c r="N10" s="14">
        <v>16189332.406499935</v>
      </c>
      <c r="O10" s="14">
        <v>16525389.339834273</v>
      </c>
      <c r="P10" s="14">
        <v>16864767.703054797</v>
      </c>
      <c r="Q10" s="14">
        <v>17206110.717085443</v>
      </c>
      <c r="R10" s="14">
        <v>17549543.096518982</v>
      </c>
      <c r="T10" s="15">
        <v>5152650.9525711369</v>
      </c>
      <c r="U10" s="15">
        <v>3777568.9145101653</v>
      </c>
      <c r="V10" s="15">
        <v>2845224.2107359469</v>
      </c>
      <c r="W10" s="15">
        <v>4413888.3286826853</v>
      </c>
      <c r="X10" s="16">
        <v>5259609.2899617562</v>
      </c>
      <c r="Y10" s="16">
        <v>3855983.4033225463</v>
      </c>
      <c r="Z10" s="16">
        <v>2904285.1589517388</v>
      </c>
      <c r="AA10" s="16">
        <v>4505511.4875982301</v>
      </c>
      <c r="AB10" s="15">
        <v>5367624.7536400594</v>
      </c>
      <c r="AC10" s="15">
        <v>3935172.9043451124</v>
      </c>
      <c r="AD10" s="15">
        <v>2963929.8380150516</v>
      </c>
      <c r="AE10" s="15">
        <v>4598040.2070545722</v>
      </c>
      <c r="AF10" s="16">
        <v>5476265.5154847139</v>
      </c>
      <c r="AG10" s="16">
        <v>4014820.8309309967</v>
      </c>
      <c r="AH10" s="16">
        <v>3023919.7982740453</v>
      </c>
      <c r="AI10" s="16">
        <v>4691104.5723956861</v>
      </c>
      <c r="AJ10" s="15">
        <v>5585571.2689647973</v>
      </c>
      <c r="AK10" s="15">
        <v>4094956.2835987988</v>
      </c>
      <c r="AL10" s="15">
        <v>3084276.9579258319</v>
      </c>
      <c r="AM10" s="15">
        <v>4784738.5860295529</v>
      </c>
    </row>
    <row r="11" spans="1:39" x14ac:dyDescent="0.25">
      <c r="C11" t="s">
        <v>8</v>
      </c>
      <c r="N11" s="14">
        <v>27926443.814097308</v>
      </c>
      <c r="O11" s="14">
        <v>28829905.310333818</v>
      </c>
      <c r="P11" s="14">
        <v>29747198.945713438</v>
      </c>
      <c r="Q11" s="14">
        <v>30679782.958735585</v>
      </c>
      <c r="R11" s="14">
        <v>31629379.670415081</v>
      </c>
      <c r="T11" s="15">
        <v>8888273.6920553707</v>
      </c>
      <c r="U11" s="15">
        <v>6516270.3066491699</v>
      </c>
      <c r="V11" s="15">
        <v>4907984.5953206327</v>
      </c>
      <c r="W11" s="15">
        <v>7613915.2200721335</v>
      </c>
      <c r="X11" s="16">
        <v>9175822.4076111373</v>
      </c>
      <c r="Y11" s="16">
        <v>6727081.2269481216</v>
      </c>
      <c r="Z11" s="16">
        <v>5066765.1094280444</v>
      </c>
      <c r="AA11" s="16">
        <v>7860236.566346514</v>
      </c>
      <c r="AB11" s="15">
        <v>9467773.5397176445</v>
      </c>
      <c r="AC11" s="15">
        <v>6941119.695952368</v>
      </c>
      <c r="AD11" s="15">
        <v>5227976.5784499673</v>
      </c>
      <c r="AE11" s="15">
        <v>8110329.1315934565</v>
      </c>
      <c r="AF11" s="16">
        <v>9764591.2084389254</v>
      </c>
      <c r="AG11" s="16">
        <v>7158725.9745378383</v>
      </c>
      <c r="AH11" s="16">
        <v>5391875.2832125295</v>
      </c>
      <c r="AI11" s="16">
        <v>8364590.492546292</v>
      </c>
      <c r="AJ11" s="15">
        <v>10066823.584557738</v>
      </c>
      <c r="AK11" s="15">
        <v>7380301.94378048</v>
      </c>
      <c r="AL11" s="15">
        <v>5558763.9162126752</v>
      </c>
      <c r="AM11" s="15">
        <v>8623490.2258641869</v>
      </c>
    </row>
    <row r="12" spans="1:39" x14ac:dyDescent="0.25">
      <c r="C12" t="s">
        <v>9</v>
      </c>
      <c r="N12" s="14">
        <v>0</v>
      </c>
      <c r="O12" s="14">
        <v>0</v>
      </c>
      <c r="P12" s="14">
        <v>0</v>
      </c>
      <c r="Q12" s="14">
        <v>0</v>
      </c>
      <c r="R12" s="14">
        <v>0</v>
      </c>
      <c r="T12" s="15">
        <v>0</v>
      </c>
      <c r="U12" s="15">
        <v>0</v>
      </c>
      <c r="V12" s="15">
        <v>0</v>
      </c>
      <c r="W12" s="15">
        <v>0</v>
      </c>
      <c r="X12" s="16">
        <v>0</v>
      </c>
      <c r="Y12" s="16">
        <v>0</v>
      </c>
      <c r="Z12" s="16">
        <v>0</v>
      </c>
      <c r="AA12" s="16">
        <v>0</v>
      </c>
      <c r="AB12" s="15">
        <v>0</v>
      </c>
      <c r="AC12" s="15">
        <v>0</v>
      </c>
      <c r="AD12" s="15">
        <v>0</v>
      </c>
      <c r="AE12" s="15">
        <v>0</v>
      </c>
      <c r="AF12" s="16">
        <v>0</v>
      </c>
      <c r="AG12" s="16">
        <v>0</v>
      </c>
      <c r="AH12" s="16">
        <v>0</v>
      </c>
      <c r="AI12" s="16">
        <v>0</v>
      </c>
      <c r="AJ12" s="15">
        <v>0</v>
      </c>
      <c r="AK12" s="15">
        <v>0</v>
      </c>
      <c r="AL12" s="15">
        <v>0</v>
      </c>
      <c r="AM12" s="15">
        <v>0</v>
      </c>
    </row>
    <row r="13" spans="1:39" x14ac:dyDescent="0.25">
      <c r="C13" t="s">
        <v>10</v>
      </c>
      <c r="N13" s="14">
        <v>21369109.869411018</v>
      </c>
      <c r="O13" s="14">
        <v>21965344.689808581</v>
      </c>
      <c r="P13" s="14">
        <v>22571505.518481087</v>
      </c>
      <c r="Q13" s="14">
        <v>23185070.067639973</v>
      </c>
      <c r="R13" s="14">
        <v>23802794.265848834</v>
      </c>
      <c r="T13" s="15">
        <v>6801241.8029053705</v>
      </c>
      <c r="U13" s="15">
        <v>4986202.2192483637</v>
      </c>
      <c r="V13" s="15">
        <v>3755553.7952827411</v>
      </c>
      <c r="W13" s="15">
        <v>5826112.0519745406</v>
      </c>
      <c r="X13" s="16">
        <v>6991008.1155696362</v>
      </c>
      <c r="Y13" s="16">
        <v>5125325.8141396577</v>
      </c>
      <c r="Z13" s="16">
        <v>3860340.1881792042</v>
      </c>
      <c r="AA13" s="16">
        <v>5988670.571920082</v>
      </c>
      <c r="AB13" s="15">
        <v>7183933.623110434</v>
      </c>
      <c r="AC13" s="15">
        <v>5266765.5132014686</v>
      </c>
      <c r="AD13" s="15">
        <v>3966871.0457855579</v>
      </c>
      <c r="AE13" s="15">
        <v>6153935.336383624</v>
      </c>
      <c r="AF13" s="16">
        <v>7379215.5457558734</v>
      </c>
      <c r="AG13" s="16">
        <v>5409932.7735770401</v>
      </c>
      <c r="AH13" s="16">
        <v>4074703.0839624535</v>
      </c>
      <c r="AI13" s="16">
        <v>6321218.6643446051</v>
      </c>
      <c r="AJ13" s="15">
        <v>7575821.3784367321</v>
      </c>
      <c r="AK13" s="15">
        <v>5554070.6336383745</v>
      </c>
      <c r="AL13" s="15">
        <v>4183266.1673664143</v>
      </c>
      <c r="AM13" s="15">
        <v>6489636.0864073122</v>
      </c>
    </row>
    <row r="14" spans="1:39" x14ac:dyDescent="0.25">
      <c r="C14" t="s">
        <v>11</v>
      </c>
      <c r="N14" s="14">
        <v>795536.26435915881</v>
      </c>
      <c r="O14" s="14">
        <v>818854.8318899424</v>
      </c>
      <c r="P14" s="14">
        <v>842525.7951954616</v>
      </c>
      <c r="Q14" s="14">
        <v>866705.47564474749</v>
      </c>
      <c r="R14" s="14">
        <v>891308.37698084442</v>
      </c>
      <c r="T14" s="15">
        <v>253198.87117206433</v>
      </c>
      <c r="U14" s="15">
        <v>185627.97940958512</v>
      </c>
      <c r="V14" s="15">
        <v>139812.99432485158</v>
      </c>
      <c r="W14" s="15">
        <v>216896.41945265769</v>
      </c>
      <c r="X14" s="16">
        <v>260620.57555017975</v>
      </c>
      <c r="Y14" s="16">
        <v>191069.06206965997</v>
      </c>
      <c r="Z14" s="16">
        <v>143911.15916774707</v>
      </c>
      <c r="AA14" s="16">
        <v>223254.03510235556</v>
      </c>
      <c r="AB14" s="15">
        <v>268154.43850153225</v>
      </c>
      <c r="AC14" s="15">
        <v>196592.37167342959</v>
      </c>
      <c r="AD14" s="15">
        <v>148071.2564588043</v>
      </c>
      <c r="AE14" s="15">
        <v>229707.7285616954</v>
      </c>
      <c r="AF14" s="16">
        <v>275850.21312469436</v>
      </c>
      <c r="AG14" s="16">
        <v>202234.38376722901</v>
      </c>
      <c r="AH14" s="16">
        <v>152320.75918657245</v>
      </c>
      <c r="AI14" s="16">
        <v>236300.11956625158</v>
      </c>
      <c r="AJ14" s="15">
        <v>283680.68814505753</v>
      </c>
      <c r="AK14" s="15">
        <v>207975.14891803201</v>
      </c>
      <c r="AL14" s="15">
        <v>156644.64165301103</v>
      </c>
      <c r="AM14" s="15">
        <v>243007.8982647438</v>
      </c>
    </row>
    <row r="15" spans="1:39" x14ac:dyDescent="0.25">
      <c r="N15" s="14"/>
      <c r="O15" s="14"/>
      <c r="P15" s="14"/>
      <c r="Q15" s="14"/>
      <c r="R15" s="14"/>
      <c r="T15" s="11"/>
      <c r="U15" s="11"/>
      <c r="V15" s="11"/>
      <c r="W15" s="11"/>
      <c r="AB15" s="11"/>
      <c r="AC15" s="11"/>
      <c r="AD15" s="11"/>
      <c r="AE15" s="11"/>
      <c r="AJ15" s="11"/>
      <c r="AK15" s="11"/>
      <c r="AL15" s="11"/>
      <c r="AM15" s="11"/>
    </row>
    <row r="16" spans="1:39" x14ac:dyDescent="0.25">
      <c r="C16" s="12" t="s">
        <v>37</v>
      </c>
      <c r="N16" s="17"/>
      <c r="O16" s="17"/>
      <c r="P16" s="17"/>
      <c r="Q16" s="17"/>
      <c r="R16" s="17"/>
      <c r="T16" s="11"/>
      <c r="U16" s="11"/>
      <c r="V16" s="11"/>
      <c r="W16" s="11"/>
      <c r="AB16" s="11"/>
      <c r="AC16" s="11"/>
      <c r="AD16" s="11"/>
      <c r="AE16" s="11"/>
      <c r="AJ16" s="11"/>
      <c r="AK16" s="11"/>
      <c r="AL16" s="11"/>
      <c r="AM16" s="11"/>
    </row>
    <row r="17" spans="3:39" x14ac:dyDescent="0.25">
      <c r="C17" t="s">
        <v>4</v>
      </c>
      <c r="N17" s="14">
        <v>0</v>
      </c>
      <c r="O17" s="14">
        <v>0</v>
      </c>
      <c r="P17" s="14">
        <v>0</v>
      </c>
      <c r="Q17" s="14">
        <v>0</v>
      </c>
      <c r="R17" s="14">
        <v>0</v>
      </c>
      <c r="T17" s="15">
        <v>0</v>
      </c>
      <c r="U17" s="15">
        <v>0</v>
      </c>
      <c r="V17" s="15">
        <v>0</v>
      </c>
      <c r="W17" s="15">
        <v>0</v>
      </c>
      <c r="X17" s="16">
        <v>0</v>
      </c>
      <c r="Y17" s="16">
        <v>0</v>
      </c>
      <c r="Z17" s="16">
        <v>0</v>
      </c>
      <c r="AA17" s="16">
        <v>0</v>
      </c>
      <c r="AB17" s="15">
        <v>0</v>
      </c>
      <c r="AC17" s="15">
        <v>0</v>
      </c>
      <c r="AD17" s="15">
        <v>0</v>
      </c>
      <c r="AE17" s="15">
        <v>0</v>
      </c>
      <c r="AF17" s="16">
        <v>0</v>
      </c>
      <c r="AG17" s="16">
        <v>0</v>
      </c>
      <c r="AH17" s="16">
        <v>0</v>
      </c>
      <c r="AI17" s="16">
        <v>0</v>
      </c>
      <c r="AJ17" s="15">
        <v>0</v>
      </c>
      <c r="AK17" s="15">
        <v>0</v>
      </c>
      <c r="AL17" s="15">
        <v>0</v>
      </c>
      <c r="AM17" s="15">
        <v>0</v>
      </c>
    </row>
    <row r="18" spans="3:39" x14ac:dyDescent="0.25">
      <c r="C18" t="s">
        <v>5</v>
      </c>
      <c r="N18" s="14">
        <v>1618218.0182115398</v>
      </c>
      <c r="O18" s="14">
        <v>1586035.3287823908</v>
      </c>
      <c r="P18" s="14">
        <v>1614309.848031817</v>
      </c>
      <c r="Q18" s="14">
        <v>1642579.1674850732</v>
      </c>
      <c r="R18" s="14">
        <v>1670884.6165565588</v>
      </c>
      <c r="T18" s="15">
        <v>515037.45822513092</v>
      </c>
      <c r="U18" s="15">
        <v>377590.00365214853</v>
      </c>
      <c r="V18" s="15">
        <v>284396.72298136621</v>
      </c>
      <c r="W18" s="15">
        <v>441193.83335289411</v>
      </c>
      <c r="X18" s="16">
        <v>504794.53027852654</v>
      </c>
      <c r="Y18" s="16">
        <v>370080.59411503398</v>
      </c>
      <c r="Z18" s="16">
        <v>278740.71661672782</v>
      </c>
      <c r="AA18" s="16">
        <v>432419.48777210241</v>
      </c>
      <c r="AB18" s="15">
        <v>513793.58749014779</v>
      </c>
      <c r="AC18" s="15">
        <v>376678.08327069978</v>
      </c>
      <c r="AD18" s="15">
        <v>283709.87437415874</v>
      </c>
      <c r="AE18" s="15">
        <v>440128.30289681064</v>
      </c>
      <c r="AF18" s="16">
        <v>522790.9897394756</v>
      </c>
      <c r="AG18" s="16">
        <v>383274.35912195739</v>
      </c>
      <c r="AH18" s="16">
        <v>288678.11828378035</v>
      </c>
      <c r="AI18" s="16">
        <v>447835.70033985976</v>
      </c>
      <c r="AJ18" s="15">
        <v>531799.89112336386</v>
      </c>
      <c r="AK18" s="15">
        <v>389879.06534695061</v>
      </c>
      <c r="AL18" s="15">
        <v>293652.71186007938</v>
      </c>
      <c r="AM18" s="15">
        <v>455552.94822616491</v>
      </c>
    </row>
    <row r="19" spans="3:39" x14ac:dyDescent="0.25">
      <c r="C19" t="s">
        <v>6</v>
      </c>
      <c r="N19" s="14">
        <v>2196766.5380157232</v>
      </c>
      <c r="O19" s="14">
        <v>2171674.5942802355</v>
      </c>
      <c r="P19" s="14">
        <v>2229209.2513329983</v>
      </c>
      <c r="Q19" s="14">
        <v>2287015.4944112599</v>
      </c>
      <c r="R19" s="14">
        <v>2345007.4519507587</v>
      </c>
      <c r="T19" s="15">
        <v>699174.67320261616</v>
      </c>
      <c r="U19" s="15">
        <v>512586.73168712802</v>
      </c>
      <c r="V19" s="15">
        <v>386074.80422030645</v>
      </c>
      <c r="W19" s="15">
        <v>598930.32890567253</v>
      </c>
      <c r="X19" s="16">
        <v>691188.54847899172</v>
      </c>
      <c r="Y19" s="16">
        <v>506731.85489049373</v>
      </c>
      <c r="Z19" s="16">
        <v>381664.97409155016</v>
      </c>
      <c r="AA19" s="16">
        <v>592089.21681919973</v>
      </c>
      <c r="AB19" s="15">
        <v>709500.36011056625</v>
      </c>
      <c r="AC19" s="15">
        <v>520156.81439668423</v>
      </c>
      <c r="AD19" s="15">
        <v>391776.50896479707</v>
      </c>
      <c r="AE19" s="15">
        <v>607775.5678609506</v>
      </c>
      <c r="AF19" s="16">
        <v>727898.61063646048</v>
      </c>
      <c r="AG19" s="16">
        <v>533645.14494880673</v>
      </c>
      <c r="AH19" s="16">
        <v>401935.7742271449</v>
      </c>
      <c r="AI19" s="16">
        <v>623535.96459884767</v>
      </c>
      <c r="AJ19" s="15">
        <v>746355.96933133737</v>
      </c>
      <c r="AK19" s="15">
        <v>547176.80954078515</v>
      </c>
      <c r="AL19" s="15">
        <v>412127.67822147557</v>
      </c>
      <c r="AM19" s="15">
        <v>639346.99485716049</v>
      </c>
    </row>
    <row r="20" spans="3:39" x14ac:dyDescent="0.25">
      <c r="C20" t="s">
        <v>7</v>
      </c>
      <c r="N20" s="14">
        <v>15457061.306717927</v>
      </c>
      <c r="O20" s="14">
        <v>15186245.894186571</v>
      </c>
      <c r="P20" s="14">
        <v>15498122.556759961</v>
      </c>
      <c r="Q20" s="14">
        <v>15811804.663652103</v>
      </c>
      <c r="R20" s="14">
        <v>16127406.82314444</v>
      </c>
      <c r="T20" s="15">
        <v>4919587.767191289</v>
      </c>
      <c r="U20" s="15">
        <v>3606703.0335662374</v>
      </c>
      <c r="V20" s="15">
        <v>2716529.8699436421</v>
      </c>
      <c r="W20" s="15">
        <v>4214240.6360167572</v>
      </c>
      <c r="X20" s="16">
        <v>4833394.139294046</v>
      </c>
      <c r="Y20" s="16">
        <v>3543511.8000884471</v>
      </c>
      <c r="Z20" s="16">
        <v>2668934.9136460437</v>
      </c>
      <c r="AA20" s="16">
        <v>4140405.0411580335</v>
      </c>
      <c r="AB20" s="15">
        <v>4932656.5141803799</v>
      </c>
      <c r="AC20" s="15">
        <v>3616284.1390655255</v>
      </c>
      <c r="AD20" s="15">
        <v>2723746.255388651</v>
      </c>
      <c r="AE20" s="15">
        <v>4225435.6481254036</v>
      </c>
      <c r="AF20" s="16">
        <v>5032493.5158737535</v>
      </c>
      <c r="AG20" s="16">
        <v>3689477.7548540346</v>
      </c>
      <c r="AH20" s="16">
        <v>2778874.8982872213</v>
      </c>
      <c r="AI20" s="16">
        <v>4310958.4946370935</v>
      </c>
      <c r="AJ20" s="15">
        <v>5132941.6212625084</v>
      </c>
      <c r="AK20" s="15">
        <v>3763119.3897970458</v>
      </c>
      <c r="AL20" s="15">
        <v>2834340.9843864613</v>
      </c>
      <c r="AM20" s="15">
        <v>4397004.8276984226</v>
      </c>
    </row>
    <row r="21" spans="3:39" x14ac:dyDescent="0.25">
      <c r="C21" t="s">
        <v>8</v>
      </c>
      <c r="N21" s="14">
        <v>9586812.5012118742</v>
      </c>
      <c r="O21" s="14">
        <v>9525823.9747537971</v>
      </c>
      <c r="P21" s="14">
        <v>9828911.258937709</v>
      </c>
      <c r="Q21" s="14">
        <v>10137050.708377182</v>
      </c>
      <c r="R21" s="14">
        <v>10450811.403221413</v>
      </c>
      <c r="T21" s="15">
        <v>3051237.526425574</v>
      </c>
      <c r="U21" s="15">
        <v>2236957.2743639103</v>
      </c>
      <c r="V21" s="15">
        <v>1684852.1203556631</v>
      </c>
      <c r="W21" s="15">
        <v>2613765.5800667261</v>
      </c>
      <c r="X21" s="16">
        <v>3031826.4363905117</v>
      </c>
      <c r="Y21" s="16">
        <v>2222726.3996184319</v>
      </c>
      <c r="Z21" s="16">
        <v>1674133.5788062932</v>
      </c>
      <c r="AA21" s="16">
        <v>2597137.5599385593</v>
      </c>
      <c r="AB21" s="15">
        <v>3128291.3766579325</v>
      </c>
      <c r="AC21" s="15">
        <v>2293447.8521384117</v>
      </c>
      <c r="AD21" s="15">
        <v>1727400.2149635719</v>
      </c>
      <c r="AE21" s="15">
        <v>2679771.8151777927</v>
      </c>
      <c r="AF21" s="16">
        <v>3226364.2920699096</v>
      </c>
      <c r="AG21" s="16">
        <v>2365348.1613240754</v>
      </c>
      <c r="AH21" s="16">
        <v>1781554.7532616449</v>
      </c>
      <c r="AI21" s="16">
        <v>2763783.5017215521</v>
      </c>
      <c r="AJ21" s="15">
        <v>3326226.3063009232</v>
      </c>
      <c r="AK21" s="15">
        <v>2438560.1145830504</v>
      </c>
      <c r="AL21" s="15">
        <v>1836697.2077454205</v>
      </c>
      <c r="AM21" s="15">
        <v>2849327.7745920187</v>
      </c>
    </row>
    <row r="22" spans="3:39" x14ac:dyDescent="0.25">
      <c r="C22" t="s">
        <v>9</v>
      </c>
      <c r="N22" s="14">
        <v>7749852.3992425958</v>
      </c>
      <c r="O22" s="14">
        <v>7583032.357062404</v>
      </c>
      <c r="P22" s="14">
        <v>7708893.904657227</v>
      </c>
      <c r="Q22" s="14">
        <v>7839670.9823067188</v>
      </c>
      <c r="R22" s="14">
        <v>7975867.132114036</v>
      </c>
      <c r="T22" s="15">
        <v>2466580.0506517775</v>
      </c>
      <c r="U22" s="15">
        <v>1808326.6672359414</v>
      </c>
      <c r="V22" s="15">
        <v>1362012.1646956925</v>
      </c>
      <c r="W22" s="15">
        <v>2112933.5166591839</v>
      </c>
      <c r="X22" s="16">
        <v>2413485.4926017732</v>
      </c>
      <c r="Y22" s="16">
        <v>1769401.3928741552</v>
      </c>
      <c r="Z22" s="16">
        <v>1332694.0673875844</v>
      </c>
      <c r="AA22" s="16">
        <v>2067451.4041988906</v>
      </c>
      <c r="AB22" s="15">
        <v>2453544.0080996803</v>
      </c>
      <c r="AC22" s="15">
        <v>1798769.5383781325</v>
      </c>
      <c r="AD22" s="15">
        <v>1354813.8381987456</v>
      </c>
      <c r="AE22" s="15">
        <v>2101766.5199806681</v>
      </c>
      <c r="AF22" s="16">
        <v>2495167.0112480111</v>
      </c>
      <c r="AG22" s="16">
        <v>1829284.6585112428</v>
      </c>
      <c r="AH22" s="16">
        <v>1377797.4979442356</v>
      </c>
      <c r="AI22" s="16">
        <v>2137421.8146032286</v>
      </c>
      <c r="AJ22" s="15">
        <v>2538514.7666353448</v>
      </c>
      <c r="AK22" s="15">
        <v>1861064.2482354941</v>
      </c>
      <c r="AL22" s="15">
        <v>1401733.5425636675</v>
      </c>
      <c r="AM22" s="15">
        <v>2174554.5746795288</v>
      </c>
    </row>
    <row r="23" spans="3:39" x14ac:dyDescent="0.25">
      <c r="C23" t="s">
        <v>10</v>
      </c>
      <c r="N23" s="14">
        <v>9217453.4536767788</v>
      </c>
      <c r="O23" s="14">
        <v>9119337.3578942455</v>
      </c>
      <c r="P23" s="14">
        <v>9370996.7407934442</v>
      </c>
      <c r="Q23" s="14">
        <v>9625729.9213394411</v>
      </c>
      <c r="R23" s="14">
        <v>9882190.0605793707</v>
      </c>
      <c r="T23" s="15">
        <v>2933679.976778971</v>
      </c>
      <c r="U23" s="15">
        <v>2150772.1728892219</v>
      </c>
      <c r="V23" s="15">
        <v>1619938.4303952735</v>
      </c>
      <c r="W23" s="15">
        <v>2513062.8736133119</v>
      </c>
      <c r="X23" s="16">
        <v>2902452.1298423391</v>
      </c>
      <c r="Y23" s="16">
        <v>2127878.0655761627</v>
      </c>
      <c r="Z23" s="16">
        <v>1602694.8354048298</v>
      </c>
      <c r="AA23" s="16">
        <v>2486312.3270709133</v>
      </c>
      <c r="AB23" s="15">
        <v>2982548.8828436178</v>
      </c>
      <c r="AC23" s="15">
        <v>2186599.4901546794</v>
      </c>
      <c r="AD23" s="15">
        <v>1646923.1797926556</v>
      </c>
      <c r="AE23" s="15">
        <v>2554925.1880024909</v>
      </c>
      <c r="AF23" s="16">
        <v>3063623.9471164858</v>
      </c>
      <c r="AG23" s="16">
        <v>2246038.1452000546</v>
      </c>
      <c r="AH23" s="16">
        <v>1691691.7344414101</v>
      </c>
      <c r="AI23" s="16">
        <v>2624376.0945814904</v>
      </c>
      <c r="AJ23" s="15">
        <v>3145248.6582269077</v>
      </c>
      <c r="AK23" s="15">
        <v>2305879.7634631237</v>
      </c>
      <c r="AL23" s="15">
        <v>1736763.7966446169</v>
      </c>
      <c r="AM23" s="15">
        <v>2694297.8422447215</v>
      </c>
    </row>
    <row r="24" spans="3:39" x14ac:dyDescent="0.25">
      <c r="C24" t="s">
        <v>11</v>
      </c>
      <c r="N24" s="14">
        <v>3891880.3527086717</v>
      </c>
      <c r="O24" s="14">
        <v>3855734.7800174821</v>
      </c>
      <c r="P24" s="14">
        <v>3967194.0435391446</v>
      </c>
      <c r="Q24" s="14">
        <v>4081048.6991474414</v>
      </c>
      <c r="R24" s="14">
        <v>4196896.1713446602</v>
      </c>
      <c r="T24" s="15">
        <v>1238686.0991640305</v>
      </c>
      <c r="U24" s="15">
        <v>908119.36343233148</v>
      </c>
      <c r="V24" s="15">
        <v>683985.72138579399</v>
      </c>
      <c r="W24" s="15">
        <v>1061089.1687265157</v>
      </c>
      <c r="X24" s="16">
        <v>1227181.8867059732</v>
      </c>
      <c r="Y24" s="16">
        <v>899685.26693181216</v>
      </c>
      <c r="Z24" s="16">
        <v>677633.25076195295</v>
      </c>
      <c r="AA24" s="16">
        <v>1051234.3756177437</v>
      </c>
      <c r="AB24" s="15">
        <v>1262656.5230861113</v>
      </c>
      <c r="AC24" s="15">
        <v>925692.82787018537</v>
      </c>
      <c r="AD24" s="15">
        <v>697221.86548181053</v>
      </c>
      <c r="AE24" s="15">
        <v>1081622.8271010371</v>
      </c>
      <c r="AF24" s="16">
        <v>1298893.5515777376</v>
      </c>
      <c r="AG24" s="16">
        <v>952259.32221342856</v>
      </c>
      <c r="AH24" s="16">
        <v>717231.46282083774</v>
      </c>
      <c r="AI24" s="16">
        <v>1112664.3625354373</v>
      </c>
      <c r="AJ24" s="15">
        <v>1335764.8426836203</v>
      </c>
      <c r="AK24" s="15">
        <v>979290.81423598353</v>
      </c>
      <c r="AL24" s="15">
        <v>737591.29140251223</v>
      </c>
      <c r="AM24" s="15">
        <v>1144249.2230225438</v>
      </c>
    </row>
    <row r="25" spans="3:39" x14ac:dyDescent="0.25">
      <c r="N25" s="17"/>
      <c r="O25" s="17"/>
      <c r="P25" s="17"/>
      <c r="Q25" s="17"/>
      <c r="R25" s="17"/>
      <c r="T25" s="11"/>
      <c r="U25" s="11"/>
      <c r="V25" s="11"/>
      <c r="W25" s="11"/>
      <c r="AB25" s="11"/>
      <c r="AC25" s="11"/>
      <c r="AD25" s="11"/>
      <c r="AE25" s="11"/>
      <c r="AJ25" s="11"/>
      <c r="AK25" s="11"/>
      <c r="AL25" s="11"/>
      <c r="AM25" s="11"/>
    </row>
    <row r="26" spans="3:39" x14ac:dyDescent="0.25">
      <c r="C26" s="1" t="s">
        <v>12</v>
      </c>
      <c r="N26" s="18">
        <v>158712569.74937421</v>
      </c>
      <c r="O26" s="18">
        <v>160957708.77730733</v>
      </c>
      <c r="P26" s="18">
        <v>165113128.23136732</v>
      </c>
      <c r="Q26" s="18">
        <v>169315517.90985614</v>
      </c>
      <c r="R26" s="18">
        <v>173561841.77825898</v>
      </c>
      <c r="T26" s="19">
        <v>50514156.678615548</v>
      </c>
      <c r="U26" s="19">
        <v>37033501.738870151</v>
      </c>
      <c r="V26" s="19">
        <v>27893234.548555743</v>
      </c>
      <c r="W26" s="19">
        <v>43271676.78333272</v>
      </c>
      <c r="X26" s="18">
        <v>51228727.079695813</v>
      </c>
      <c r="Y26" s="18">
        <v>37557375.558229662</v>
      </c>
      <c r="Z26" s="18">
        <v>28287810.665615324</v>
      </c>
      <c r="AA26" s="18">
        <v>43883795.473766521</v>
      </c>
      <c r="AB26" s="19">
        <v>52551290.942780025</v>
      </c>
      <c r="AC26" s="19">
        <v>38526988.323120788</v>
      </c>
      <c r="AD26" s="19">
        <v>29018112.554512709</v>
      </c>
      <c r="AE26" s="19">
        <v>45016736.410953797</v>
      </c>
      <c r="AF26" s="18">
        <v>53888804.228457376</v>
      </c>
      <c r="AG26" s="18">
        <v>39507560.975378141</v>
      </c>
      <c r="AH26" s="18">
        <v>29756669.312503722</v>
      </c>
      <c r="AI26" s="18">
        <v>46162483.393516906</v>
      </c>
      <c r="AJ26" s="11">
        <v>55240300.644496545</v>
      </c>
      <c r="AK26" s="11">
        <v>40498385.096067712</v>
      </c>
      <c r="AL26" s="11">
        <v>30502947.366078984</v>
      </c>
      <c r="AM26" s="11">
        <v>47320208.671615764</v>
      </c>
    </row>
    <row r="27" spans="3:39" x14ac:dyDescent="0.25">
      <c r="N27" s="17"/>
      <c r="O27" s="17"/>
      <c r="P27" s="17"/>
      <c r="Q27" s="17"/>
      <c r="R27" s="17"/>
      <c r="T27" s="11"/>
      <c r="U27" s="11"/>
      <c r="V27" s="11"/>
      <c r="W27" s="11"/>
      <c r="AB27" s="11"/>
      <c r="AC27" s="11"/>
      <c r="AD27" s="11"/>
      <c r="AE27" s="11"/>
      <c r="AJ27" s="11"/>
      <c r="AK27" s="11"/>
      <c r="AL27" s="11"/>
      <c r="AM27" s="11"/>
    </row>
    <row r="28" spans="3:39" x14ac:dyDescent="0.25">
      <c r="C28" s="12" t="s">
        <v>38</v>
      </c>
      <c r="N28" s="17"/>
      <c r="O28" s="17"/>
      <c r="P28" s="17"/>
      <c r="Q28" s="17"/>
      <c r="R28" s="17"/>
      <c r="T28" s="11"/>
      <c r="U28" s="11"/>
      <c r="V28" s="11"/>
      <c r="W28" s="11"/>
      <c r="AB28" s="11"/>
      <c r="AC28" s="11"/>
      <c r="AD28" s="11"/>
      <c r="AE28" s="11"/>
      <c r="AJ28" s="11"/>
      <c r="AK28" s="11"/>
      <c r="AL28" s="11"/>
      <c r="AM28" s="11"/>
    </row>
    <row r="29" spans="3:39" x14ac:dyDescent="0.25">
      <c r="C29" t="s">
        <v>13</v>
      </c>
      <c r="N29" s="14">
        <v>8374390.7686820477</v>
      </c>
      <c r="O29" s="14">
        <v>8627500.7350946888</v>
      </c>
      <c r="P29" s="14">
        <v>8886163.3117249999</v>
      </c>
      <c r="Q29" s="14">
        <v>9150075.3913799152</v>
      </c>
      <c r="R29" s="14">
        <v>9420325.0679126792</v>
      </c>
      <c r="T29" s="15">
        <v>2665354.6599690458</v>
      </c>
      <c r="U29" s="15">
        <v>1954054.5250051795</v>
      </c>
      <c r="V29" s="15">
        <v>1471772.8172442338</v>
      </c>
      <c r="W29" s="15">
        <v>2283208.766463588</v>
      </c>
      <c r="X29" s="16">
        <v>2745913.0966478628</v>
      </c>
      <c r="Y29" s="16">
        <v>2013114.424268797</v>
      </c>
      <c r="Z29" s="16">
        <v>1516256.0971184967</v>
      </c>
      <c r="AA29" s="16">
        <v>2352217.1170595321</v>
      </c>
      <c r="AB29" s="15">
        <v>2828238.7873189347</v>
      </c>
      <c r="AC29" s="15">
        <v>2073469.9524827623</v>
      </c>
      <c r="AD29" s="15">
        <v>1561715.2307603769</v>
      </c>
      <c r="AE29" s="15">
        <v>2422739.3411629256</v>
      </c>
      <c r="AF29" s="16">
        <v>2912235.260705506</v>
      </c>
      <c r="AG29" s="16">
        <v>2135050.3835490779</v>
      </c>
      <c r="AH29" s="16">
        <v>1608096.9480347938</v>
      </c>
      <c r="AI29" s="16">
        <v>2494692.7990905368</v>
      </c>
      <c r="AJ29" s="15">
        <v>2998248.8292859811</v>
      </c>
      <c r="AK29" s="15">
        <v>2198109.6099330341</v>
      </c>
      <c r="AL29" s="15">
        <v>1655592.4780114261</v>
      </c>
      <c r="AM29" s="15">
        <v>2568374.1506822375</v>
      </c>
    </row>
    <row r="30" spans="3:39" x14ac:dyDescent="0.25">
      <c r="C30" t="s">
        <v>14</v>
      </c>
      <c r="N30" s="14">
        <v>548224.21885060577</v>
      </c>
      <c r="O30" s="14">
        <v>561484.26910148677</v>
      </c>
      <c r="P30" s="14">
        <v>574779.95657809766</v>
      </c>
      <c r="Q30" s="14">
        <v>588175.16028667288</v>
      </c>
      <c r="R30" s="14">
        <v>601782.37241238169</v>
      </c>
      <c r="T30" s="15">
        <v>174485.76461058983</v>
      </c>
      <c r="U30" s="15">
        <v>127920.94913562885</v>
      </c>
      <c r="V30" s="15">
        <v>96348.680799171547</v>
      </c>
      <c r="W30" s="15">
        <v>149468.82430521553</v>
      </c>
      <c r="X30" s="16">
        <v>178706.09988080215</v>
      </c>
      <c r="Y30" s="16">
        <v>131015.00838247337</v>
      </c>
      <c r="Z30" s="16">
        <v>98679.092891657478</v>
      </c>
      <c r="AA30" s="16">
        <v>153084.06794655375</v>
      </c>
      <c r="AB30" s="15">
        <v>182937.77756962035</v>
      </c>
      <c r="AC30" s="15">
        <v>134117.38310970561</v>
      </c>
      <c r="AD30" s="15">
        <v>101015.76811438895</v>
      </c>
      <c r="AE30" s="15">
        <v>156709.02778438272</v>
      </c>
      <c r="AF30" s="16">
        <v>187201.12873295572</v>
      </c>
      <c r="AG30" s="16">
        <v>137242.97864771119</v>
      </c>
      <c r="AH30" s="16">
        <v>103369.93300163756</v>
      </c>
      <c r="AI30" s="16">
        <v>160361.11990436839</v>
      </c>
      <c r="AJ30" s="15">
        <v>191531.9567597631</v>
      </c>
      <c r="AK30" s="15">
        <v>140418.04357618134</v>
      </c>
      <c r="AL30" s="15">
        <v>105761.35770085137</v>
      </c>
      <c r="AM30" s="15">
        <v>164071.01437558583</v>
      </c>
    </row>
    <row r="31" spans="3:39" x14ac:dyDescent="0.25">
      <c r="C31" t="s">
        <v>15</v>
      </c>
      <c r="N31" s="14">
        <v>143067.31291031031</v>
      </c>
      <c r="O31" s="14">
        <v>142900.91101433555</v>
      </c>
      <c r="P31" s="14">
        <v>142698.4635381072</v>
      </c>
      <c r="Q31" s="14">
        <v>142449.58437316518</v>
      </c>
      <c r="R31" s="14">
        <v>142170.3577354353</v>
      </c>
      <c r="T31" s="15">
        <v>45534.671080886015</v>
      </c>
      <c r="U31" s="15">
        <v>33382.885739964207</v>
      </c>
      <c r="V31" s="15">
        <v>25143.629906191713</v>
      </c>
      <c r="W31" s="15">
        <v>39006.126183268374</v>
      </c>
      <c r="X31" s="16">
        <v>45481.709608091754</v>
      </c>
      <c r="Y31" s="16">
        <v>33344.058034548914</v>
      </c>
      <c r="Z31" s="16">
        <v>25114.385296762997</v>
      </c>
      <c r="AA31" s="16">
        <v>38960.758074931873</v>
      </c>
      <c r="AB31" s="15">
        <v>45417.275747878048</v>
      </c>
      <c r="AC31" s="15">
        <v>33296.819564560232</v>
      </c>
      <c r="AD31" s="15">
        <v>25078.805790066599</v>
      </c>
      <c r="AE31" s="15">
        <v>38905.562435602311</v>
      </c>
      <c r="AF31" s="16">
        <v>45338.063867232573</v>
      </c>
      <c r="AG31" s="16">
        <v>33238.746867468857</v>
      </c>
      <c r="AH31" s="16">
        <v>25035.066060233363</v>
      </c>
      <c r="AI31" s="16">
        <v>38837.70757823038</v>
      </c>
      <c r="AJ31" s="15">
        <v>45249.19316121727</v>
      </c>
      <c r="AK31" s="15">
        <v>33173.59298463376</v>
      </c>
      <c r="AL31" s="15">
        <v>24985.99285758342</v>
      </c>
      <c r="AM31" s="15">
        <v>38761.578732000846</v>
      </c>
    </row>
    <row r="32" spans="3:39" x14ac:dyDescent="0.25">
      <c r="C32" t="s">
        <v>7</v>
      </c>
      <c r="N32" s="14">
        <v>1054552.5658037292</v>
      </c>
      <c r="O32" s="14">
        <v>1076442.8879248302</v>
      </c>
      <c r="P32" s="14">
        <v>1098549.5637732288</v>
      </c>
      <c r="Q32" s="14">
        <v>1120784.2144819065</v>
      </c>
      <c r="R32" s="14">
        <v>1143154.9638011502</v>
      </c>
      <c r="T32" s="15">
        <v>335637.1434157039</v>
      </c>
      <c r="U32" s="15">
        <v>246066.04468123033</v>
      </c>
      <c r="V32" s="15">
        <v>185334.2939894064</v>
      </c>
      <c r="W32" s="15">
        <v>287515.08371738851</v>
      </c>
      <c r="X32" s="16">
        <v>342604.27376408654</v>
      </c>
      <c r="Y32" s="16">
        <v>251173.86496047079</v>
      </c>
      <c r="Z32" s="16">
        <v>189181.44919728633</v>
      </c>
      <c r="AA32" s="16">
        <v>293483.30000298651</v>
      </c>
      <c r="AB32" s="15">
        <v>349640.26397716656</v>
      </c>
      <c r="AC32" s="15">
        <v>256332.16855145359</v>
      </c>
      <c r="AD32" s="15">
        <v>193066.62789171486</v>
      </c>
      <c r="AE32" s="15">
        <v>299510.50335289369</v>
      </c>
      <c r="AF32" s="16">
        <v>356716.98531918781</v>
      </c>
      <c r="AG32" s="16">
        <v>261520.33340180715</v>
      </c>
      <c r="AH32" s="16">
        <v>196974.29776500672</v>
      </c>
      <c r="AI32" s="16">
        <v>305572.5979959048</v>
      </c>
      <c r="AJ32" s="15">
        <v>363837.02337234752</v>
      </c>
      <c r="AK32" s="15">
        <v>266740.25508237904</v>
      </c>
      <c r="AL32" s="15">
        <v>200905.88654070333</v>
      </c>
      <c r="AM32" s="15">
        <v>311671.79880572023</v>
      </c>
    </row>
    <row r="33" spans="3:39" x14ac:dyDescent="0.25">
      <c r="C33" t="s">
        <v>10</v>
      </c>
      <c r="N33" s="14">
        <v>2672907.0214238144</v>
      </c>
      <c r="O33" s="14">
        <v>2747485.7122348575</v>
      </c>
      <c r="P33" s="14">
        <v>2823305.9754546229</v>
      </c>
      <c r="Q33" s="14">
        <v>2900052.3163909432</v>
      </c>
      <c r="R33" s="14">
        <v>2977318.9576682844</v>
      </c>
      <c r="T33" s="15">
        <v>850718.02618271555</v>
      </c>
      <c r="U33" s="15">
        <v>623687.88421767321</v>
      </c>
      <c r="V33" s="15">
        <v>469754.99541585584</v>
      </c>
      <c r="W33" s="15">
        <v>728746.11560756958</v>
      </c>
      <c r="X33" s="16">
        <v>874454.51837400219</v>
      </c>
      <c r="Y33" s="16">
        <v>641089.8460168856</v>
      </c>
      <c r="Z33" s="16">
        <v>482861.96557204187</v>
      </c>
      <c r="AA33" s="16">
        <v>749079.38227192766</v>
      </c>
      <c r="AB33" s="15">
        <v>898586.17134733079</v>
      </c>
      <c r="AC33" s="15">
        <v>658781.5124943722</v>
      </c>
      <c r="AD33" s="15">
        <v>496187.13817092165</v>
      </c>
      <c r="AE33" s="15">
        <v>769751.15344199806</v>
      </c>
      <c r="AF33" s="16">
        <v>923012.57120141678</v>
      </c>
      <c r="AG33" s="16">
        <v>676689.26709128474</v>
      </c>
      <c r="AH33" s="16">
        <v>509675.06601343991</v>
      </c>
      <c r="AI33" s="16">
        <v>790675.4120848017</v>
      </c>
      <c r="AJ33" s="15">
        <v>947604.5693631086</v>
      </c>
      <c r="AK33" s="15">
        <v>694718.42696576496</v>
      </c>
      <c r="AL33" s="15">
        <v>523254.43500312569</v>
      </c>
      <c r="AM33" s="15">
        <v>811741.52633628494</v>
      </c>
    </row>
    <row r="34" spans="3:39" x14ac:dyDescent="0.25">
      <c r="C34" s="12"/>
      <c r="N34" s="17"/>
      <c r="O34" s="17"/>
      <c r="P34" s="17"/>
      <c r="Q34" s="17"/>
      <c r="R34" s="17"/>
      <c r="T34" s="15"/>
      <c r="U34" s="15"/>
      <c r="V34" s="15"/>
      <c r="W34" s="15"/>
      <c r="X34" s="16"/>
      <c r="Y34" s="16"/>
      <c r="Z34" s="16"/>
      <c r="AA34" s="16"/>
      <c r="AB34" s="15"/>
      <c r="AC34" s="15"/>
      <c r="AD34" s="15"/>
      <c r="AE34" s="15"/>
      <c r="AF34" s="16"/>
      <c r="AG34" s="16"/>
      <c r="AH34" s="16"/>
      <c r="AI34" s="16"/>
      <c r="AJ34" s="15"/>
      <c r="AK34" s="15"/>
      <c r="AL34" s="15"/>
      <c r="AM34" s="15"/>
    </row>
    <row r="35" spans="3:39" x14ac:dyDescent="0.25">
      <c r="C35" s="12" t="s">
        <v>39</v>
      </c>
      <c r="N35" s="17"/>
      <c r="O35" s="17"/>
      <c r="P35" s="17"/>
      <c r="Q35" s="17"/>
      <c r="R35" s="17"/>
      <c r="T35" s="15"/>
      <c r="U35" s="15"/>
      <c r="V35" s="15"/>
      <c r="W35" s="15"/>
      <c r="X35" s="16"/>
      <c r="Y35" s="16"/>
      <c r="Z35" s="16"/>
      <c r="AA35" s="16"/>
      <c r="AB35" s="15"/>
      <c r="AC35" s="15"/>
      <c r="AD35" s="15"/>
      <c r="AE35" s="15"/>
      <c r="AF35" s="16"/>
      <c r="AG35" s="16"/>
      <c r="AH35" s="16"/>
      <c r="AI35" s="16"/>
      <c r="AJ35" s="15"/>
      <c r="AK35" s="15"/>
      <c r="AL35" s="15"/>
      <c r="AM35" s="15"/>
    </row>
    <row r="36" spans="3:39" x14ac:dyDescent="0.25">
      <c r="C36" t="s">
        <v>13</v>
      </c>
      <c r="N36" s="14">
        <v>53151.319772871211</v>
      </c>
      <c r="O36" s="14">
        <v>52704.363602407277</v>
      </c>
      <c r="P36" s="14">
        <v>54284.502150945365</v>
      </c>
      <c r="Q36" s="14">
        <v>55896.709281640127</v>
      </c>
      <c r="R36" s="14">
        <v>57547.63202888146</v>
      </c>
      <c r="T36" s="15">
        <v>16916.707346631567</v>
      </c>
      <c r="U36" s="15">
        <v>12402.165098455482</v>
      </c>
      <c r="V36" s="15">
        <v>9341.1771438842279</v>
      </c>
      <c r="W36" s="15">
        <v>14491.270183899933</v>
      </c>
      <c r="X36" s="16">
        <v>16774.45261495567</v>
      </c>
      <c r="Y36" s="16">
        <v>12297.873723536575</v>
      </c>
      <c r="Z36" s="16">
        <v>9262.6260038241689</v>
      </c>
      <c r="AA36" s="16">
        <v>14369.411260090857</v>
      </c>
      <c r="AB36" s="15">
        <v>17277.370350714202</v>
      </c>
      <c r="AC36" s="15">
        <v>12666.578381128271</v>
      </c>
      <c r="AD36" s="15">
        <v>9540.3303798744546</v>
      </c>
      <c r="AE36" s="15">
        <v>14800.223039228435</v>
      </c>
      <c r="AF36" s="16">
        <v>17790.49469698935</v>
      </c>
      <c r="AG36" s="16">
        <v>13042.765822817897</v>
      </c>
      <c r="AH36" s="16">
        <v>9823.6707082954199</v>
      </c>
      <c r="AI36" s="16">
        <v>15239.778053537459</v>
      </c>
      <c r="AJ36" s="15">
        <v>18315.941235030597</v>
      </c>
      <c r="AK36" s="15">
        <v>13427.987047118206</v>
      </c>
      <c r="AL36" s="15">
        <v>10113.815184457997</v>
      </c>
      <c r="AM36" s="15">
        <v>15689.888562274655</v>
      </c>
    </row>
    <row r="37" spans="3:39" x14ac:dyDescent="0.25">
      <c r="C37" t="s">
        <v>14</v>
      </c>
      <c r="N37" s="14">
        <v>0</v>
      </c>
      <c r="O37" s="14">
        <v>0</v>
      </c>
      <c r="P37" s="14">
        <v>0</v>
      </c>
      <c r="Q37" s="14">
        <v>0</v>
      </c>
      <c r="R37" s="14">
        <v>0</v>
      </c>
      <c r="T37" s="15">
        <v>0</v>
      </c>
      <c r="U37" s="15">
        <v>0</v>
      </c>
      <c r="V37" s="15">
        <v>0</v>
      </c>
      <c r="W37" s="15">
        <v>0</v>
      </c>
      <c r="X37" s="16">
        <v>0</v>
      </c>
      <c r="Y37" s="16">
        <v>0</v>
      </c>
      <c r="Z37" s="16">
        <v>0</v>
      </c>
      <c r="AA37" s="16">
        <v>0</v>
      </c>
      <c r="AB37" s="15">
        <v>0</v>
      </c>
      <c r="AC37" s="15">
        <v>0</v>
      </c>
      <c r="AD37" s="15">
        <v>0</v>
      </c>
      <c r="AE37" s="15">
        <v>0</v>
      </c>
      <c r="AF37" s="16">
        <v>0</v>
      </c>
      <c r="AG37" s="16">
        <v>0</v>
      </c>
      <c r="AH37" s="16">
        <v>0</v>
      </c>
      <c r="AI37" s="16">
        <v>0</v>
      </c>
      <c r="AJ37" s="15">
        <v>0</v>
      </c>
      <c r="AK37" s="15">
        <v>0</v>
      </c>
      <c r="AL37" s="15">
        <v>0</v>
      </c>
      <c r="AM37" s="15">
        <v>0</v>
      </c>
    </row>
    <row r="38" spans="3:39" x14ac:dyDescent="0.25">
      <c r="C38" t="s">
        <v>15</v>
      </c>
      <c r="N38" s="14">
        <v>0</v>
      </c>
      <c r="O38" s="14">
        <v>0</v>
      </c>
      <c r="P38" s="14">
        <v>0</v>
      </c>
      <c r="Q38" s="14">
        <v>0</v>
      </c>
      <c r="R38" s="14">
        <v>0</v>
      </c>
      <c r="T38" s="15">
        <v>0</v>
      </c>
      <c r="U38" s="15">
        <v>0</v>
      </c>
      <c r="V38" s="15">
        <v>0</v>
      </c>
      <c r="W38" s="15">
        <v>0</v>
      </c>
      <c r="X38" s="16">
        <v>0</v>
      </c>
      <c r="Y38" s="16">
        <v>0</v>
      </c>
      <c r="Z38" s="16">
        <v>0</v>
      </c>
      <c r="AA38" s="16">
        <v>0</v>
      </c>
      <c r="AB38" s="15">
        <v>0</v>
      </c>
      <c r="AC38" s="15">
        <v>0</v>
      </c>
      <c r="AD38" s="15">
        <v>0</v>
      </c>
      <c r="AE38" s="15">
        <v>0</v>
      </c>
      <c r="AF38" s="16">
        <v>0</v>
      </c>
      <c r="AG38" s="16">
        <v>0</v>
      </c>
      <c r="AH38" s="16">
        <v>0</v>
      </c>
      <c r="AI38" s="16">
        <v>0</v>
      </c>
      <c r="AJ38" s="15">
        <v>0</v>
      </c>
      <c r="AK38" s="15">
        <v>0</v>
      </c>
      <c r="AL38" s="15">
        <v>0</v>
      </c>
      <c r="AM38" s="15">
        <v>0</v>
      </c>
    </row>
    <row r="39" spans="3:39" x14ac:dyDescent="0.25">
      <c r="C39" t="s">
        <v>7</v>
      </c>
      <c r="N39" s="14">
        <v>1006853.3557468036</v>
      </c>
      <c r="O39" s="14">
        <v>989212.78348766081</v>
      </c>
      <c r="P39" s="14">
        <v>1009528.0334604783</v>
      </c>
      <c r="Q39" s="14">
        <v>1029960.887784787</v>
      </c>
      <c r="R39" s="14">
        <v>1050518.8118985826</v>
      </c>
      <c r="T39" s="15">
        <v>320455.70331888867</v>
      </c>
      <c r="U39" s="15">
        <v>234936.05805587763</v>
      </c>
      <c r="V39" s="15">
        <v>176951.30796631039</v>
      </c>
      <c r="W39" s="15">
        <v>274510.2864057268</v>
      </c>
      <c r="X39" s="16">
        <v>314841.15979277773</v>
      </c>
      <c r="Y39" s="16">
        <v>230819.86130810113</v>
      </c>
      <c r="Z39" s="16">
        <v>173851.03291958899</v>
      </c>
      <c r="AA39" s="16">
        <v>269700.7294671929</v>
      </c>
      <c r="AB39" s="15">
        <v>321306.98491118295</v>
      </c>
      <c r="AC39" s="15">
        <v>235560.15910796638</v>
      </c>
      <c r="AD39" s="15">
        <v>177421.37415531569</v>
      </c>
      <c r="AE39" s="15">
        <v>275239.51528601325</v>
      </c>
      <c r="AF39" s="16">
        <v>327810.2404904943</v>
      </c>
      <c r="AG39" s="16">
        <v>240327.89834465244</v>
      </c>
      <c r="AH39" s="16">
        <v>181012.38398562977</v>
      </c>
      <c r="AI39" s="16">
        <v>280810.36496401043</v>
      </c>
      <c r="AJ39" s="15">
        <v>334353.30258892308</v>
      </c>
      <c r="AK39" s="15">
        <v>245124.82098044647</v>
      </c>
      <c r="AL39" s="15">
        <v>184625.37443775981</v>
      </c>
      <c r="AM39" s="15">
        <v>286415.3138914532</v>
      </c>
    </row>
    <row r="40" spans="3:39" x14ac:dyDescent="0.25">
      <c r="C40" t="s">
        <v>10</v>
      </c>
      <c r="N40" s="14">
        <v>1152944.4233541638</v>
      </c>
      <c r="O40" s="14">
        <v>1140671.7923024027</v>
      </c>
      <c r="P40" s="14">
        <v>1172150.039906966</v>
      </c>
      <c r="Q40" s="14">
        <v>1204012.7665732596</v>
      </c>
      <c r="R40" s="14">
        <v>1236091.505981632</v>
      </c>
      <c r="T40" s="15">
        <v>366952.75827879371</v>
      </c>
      <c r="U40" s="15">
        <v>269024.49739508069</v>
      </c>
      <c r="V40" s="15">
        <v>202626.35324253421</v>
      </c>
      <c r="W40" s="15">
        <v>314340.81443775515</v>
      </c>
      <c r="X40" s="16">
        <v>363046.69331628655</v>
      </c>
      <c r="Y40" s="16">
        <v>266160.83950009721</v>
      </c>
      <c r="Z40" s="16">
        <v>200469.47696616096</v>
      </c>
      <c r="AA40" s="16">
        <v>310994.78251985792</v>
      </c>
      <c r="AB40" s="15">
        <v>373065.41542491422</v>
      </c>
      <c r="AC40" s="15">
        <v>273505.8767535488</v>
      </c>
      <c r="AD40" s="15">
        <v>206001.67989752369</v>
      </c>
      <c r="AE40" s="15">
        <v>319577.0678309793</v>
      </c>
      <c r="AF40" s="16">
        <v>383206.50739746989</v>
      </c>
      <c r="AG40" s="16">
        <v>280940.62716597464</v>
      </c>
      <c r="AH40" s="16">
        <v>211601.45381374779</v>
      </c>
      <c r="AI40" s="16">
        <v>328264.17819606722</v>
      </c>
      <c r="AJ40" s="15">
        <v>393416.35070783814</v>
      </c>
      <c r="AK40" s="15">
        <v>288425.78132570308</v>
      </c>
      <c r="AL40" s="15">
        <v>217239.19128944172</v>
      </c>
      <c r="AM40" s="15">
        <v>337010.18265864905</v>
      </c>
    </row>
    <row r="41" spans="3:39" x14ac:dyDescent="0.25">
      <c r="D41" s="12"/>
      <c r="N41" s="20"/>
      <c r="O41" s="20"/>
      <c r="P41" s="20"/>
      <c r="Q41" s="20"/>
      <c r="R41" s="20"/>
      <c r="T41" s="11"/>
      <c r="U41" s="11"/>
      <c r="V41" s="11"/>
      <c r="W41" s="11"/>
      <c r="AB41" s="11"/>
      <c r="AC41" s="11"/>
      <c r="AD41" s="11"/>
      <c r="AE41" s="11"/>
      <c r="AJ41" s="11"/>
      <c r="AK41" s="11"/>
      <c r="AL41" s="11"/>
      <c r="AM41" s="11"/>
    </row>
    <row r="42" spans="3:39" x14ac:dyDescent="0.25">
      <c r="C42" s="1" t="s">
        <v>16</v>
      </c>
      <c r="N42" s="18">
        <v>15006090.986544346</v>
      </c>
      <c r="O42" s="18">
        <v>15338403.454762667</v>
      </c>
      <c r="P42" s="18">
        <v>15761459.846587444</v>
      </c>
      <c r="Q42" s="18">
        <v>16191407.030552289</v>
      </c>
      <c r="R42" s="18">
        <v>16628909.669439025</v>
      </c>
      <c r="T42" s="19">
        <v>4776055.434203255</v>
      </c>
      <c r="U42" s="19">
        <v>3501475.0093290894</v>
      </c>
      <c r="V42" s="19">
        <v>2637273.2557075885</v>
      </c>
      <c r="W42" s="19">
        <v>4091287.2873044116</v>
      </c>
      <c r="X42" s="18">
        <v>4881822.0039988654</v>
      </c>
      <c r="Y42" s="18">
        <v>3579015.7761949105</v>
      </c>
      <c r="Z42" s="18">
        <v>2695676.1259658192</v>
      </c>
      <c r="AA42" s="18">
        <v>4181889.5486030732</v>
      </c>
      <c r="AB42" s="19">
        <v>5016470.0466477415</v>
      </c>
      <c r="AC42" s="19">
        <v>3677730.4504454969</v>
      </c>
      <c r="AD42" s="19">
        <v>2770026.9551601824</v>
      </c>
      <c r="AE42" s="19">
        <v>4297232.3943340229</v>
      </c>
      <c r="AF42" s="18">
        <v>5153311.2524112528</v>
      </c>
      <c r="AG42" s="18">
        <v>3778053.0008907947</v>
      </c>
      <c r="AH42" s="18">
        <v>2845588.8193827844</v>
      </c>
      <c r="AI42" s="18">
        <v>4414453.9578674566</v>
      </c>
      <c r="AJ42" s="11">
        <v>5292557.1664742101</v>
      </c>
      <c r="AK42" s="11">
        <v>3880138.5178952613</v>
      </c>
      <c r="AL42" s="11">
        <v>2922478.5310253492</v>
      </c>
      <c r="AM42" s="11">
        <v>4533735.4540442051</v>
      </c>
    </row>
    <row r="43" spans="3:39" x14ac:dyDescent="0.25">
      <c r="D43" s="12"/>
      <c r="N43" s="20"/>
      <c r="O43" s="20"/>
      <c r="P43" s="20"/>
      <c r="Q43" s="20"/>
      <c r="R43" s="20"/>
      <c r="T43" s="11"/>
      <c r="U43" s="11"/>
      <c r="V43" s="11"/>
      <c r="W43" s="11"/>
      <c r="AB43" s="11"/>
      <c r="AC43" s="11"/>
      <c r="AD43" s="11"/>
      <c r="AE43" s="11"/>
      <c r="AJ43" s="11"/>
      <c r="AK43" s="11"/>
      <c r="AL43" s="11"/>
      <c r="AM43" s="11"/>
    </row>
    <row r="44" spans="3:39" x14ac:dyDescent="0.25">
      <c r="D44" s="12"/>
      <c r="N44" s="20" t="s">
        <v>17</v>
      </c>
      <c r="O44" s="20" t="s">
        <v>18</v>
      </c>
      <c r="P44" s="20" t="s">
        <v>19</v>
      </c>
      <c r="Q44" s="20" t="s">
        <v>20</v>
      </c>
      <c r="R44" s="20"/>
      <c r="T44" s="11"/>
      <c r="U44" s="11"/>
      <c r="V44" s="11"/>
      <c r="W44" s="11"/>
      <c r="AB44" s="11"/>
      <c r="AC44" s="11"/>
      <c r="AD44" s="11"/>
      <c r="AE44" s="11"/>
      <c r="AJ44" s="11"/>
      <c r="AK44" s="11"/>
      <c r="AL44" s="11"/>
      <c r="AM44" s="11"/>
    </row>
    <row r="45" spans="3:39" x14ac:dyDescent="0.25">
      <c r="C45" s="12" t="s">
        <v>36</v>
      </c>
      <c r="N45" s="21">
        <v>45839</v>
      </c>
      <c r="O45" s="21">
        <v>46113</v>
      </c>
      <c r="P45" s="21">
        <v>46113</v>
      </c>
      <c r="Q45" s="21">
        <v>46388</v>
      </c>
      <c r="R45" s="22"/>
      <c r="T45" s="11"/>
      <c r="U45" s="11"/>
      <c r="V45" s="11"/>
      <c r="W45" s="11"/>
      <c r="AB45" s="11"/>
      <c r="AC45" s="11"/>
      <c r="AD45" s="11"/>
      <c r="AE45" s="11"/>
      <c r="AJ45" s="11"/>
      <c r="AK45" s="11"/>
      <c r="AL45" s="11"/>
      <c r="AM45" s="11"/>
    </row>
    <row r="46" spans="3:39" x14ac:dyDescent="0.25">
      <c r="C46" t="s">
        <v>4</v>
      </c>
      <c r="N46" s="23">
        <v>0.25</v>
      </c>
      <c r="O46" s="23">
        <v>0.5</v>
      </c>
      <c r="P46" s="23">
        <v>0.75</v>
      </c>
      <c r="Q46" s="23">
        <v>1</v>
      </c>
      <c r="R46" s="14"/>
      <c r="T46" s="24">
        <v>0</v>
      </c>
      <c r="U46" s="24">
        <v>0</v>
      </c>
      <c r="V46" s="24">
        <v>0.25</v>
      </c>
      <c r="W46" s="24">
        <v>0.25</v>
      </c>
      <c r="X46" s="25">
        <v>0.25</v>
      </c>
      <c r="Y46" s="25">
        <v>0.75</v>
      </c>
      <c r="Z46" s="25">
        <v>0.75</v>
      </c>
      <c r="AA46" s="25">
        <v>0.75</v>
      </c>
      <c r="AB46" s="24">
        <v>1</v>
      </c>
      <c r="AC46" s="24">
        <v>1</v>
      </c>
      <c r="AD46" s="24">
        <v>1</v>
      </c>
      <c r="AE46" s="24">
        <v>1</v>
      </c>
      <c r="AF46" s="25">
        <v>1</v>
      </c>
      <c r="AG46" s="25">
        <v>1</v>
      </c>
      <c r="AH46" s="25">
        <v>1</v>
      </c>
      <c r="AI46" s="25">
        <v>1</v>
      </c>
      <c r="AJ46" s="24">
        <v>1</v>
      </c>
      <c r="AK46" s="24">
        <v>1</v>
      </c>
      <c r="AL46" s="24">
        <v>1</v>
      </c>
      <c r="AM46" s="24">
        <v>1</v>
      </c>
    </row>
    <row r="47" spans="3:39" x14ac:dyDescent="0.25">
      <c r="C47" t="s">
        <v>5</v>
      </c>
      <c r="N47" s="25">
        <v>0.25</v>
      </c>
      <c r="O47" s="25">
        <v>0.5</v>
      </c>
      <c r="P47" s="25">
        <v>0.75</v>
      </c>
      <c r="Q47" s="25">
        <v>1</v>
      </c>
      <c r="R47" s="14"/>
      <c r="T47" s="24">
        <v>0</v>
      </c>
      <c r="U47" s="24">
        <v>0</v>
      </c>
      <c r="V47" s="24">
        <v>0.25</v>
      </c>
      <c r="W47" s="24">
        <v>0.25</v>
      </c>
      <c r="X47" s="25">
        <v>0.25</v>
      </c>
      <c r="Y47" s="25">
        <v>0.75</v>
      </c>
      <c r="Z47" s="25">
        <v>0.75</v>
      </c>
      <c r="AA47" s="25">
        <v>0.75</v>
      </c>
      <c r="AB47" s="24">
        <v>1</v>
      </c>
      <c r="AC47" s="24">
        <v>1</v>
      </c>
      <c r="AD47" s="24">
        <v>1</v>
      </c>
      <c r="AE47" s="24">
        <v>1</v>
      </c>
      <c r="AF47" s="25">
        <v>1</v>
      </c>
      <c r="AG47" s="25">
        <v>1</v>
      </c>
      <c r="AH47" s="25">
        <v>1</v>
      </c>
      <c r="AI47" s="25">
        <v>1</v>
      </c>
      <c r="AJ47" s="24">
        <v>1</v>
      </c>
      <c r="AK47" s="24">
        <v>1</v>
      </c>
      <c r="AL47" s="24">
        <v>1</v>
      </c>
      <c r="AM47" s="24">
        <v>1</v>
      </c>
    </row>
    <row r="48" spans="3:39" x14ac:dyDescent="0.25">
      <c r="C48" t="s">
        <v>6</v>
      </c>
      <c r="N48" s="25">
        <v>0.25</v>
      </c>
      <c r="O48" s="25">
        <v>0.5</v>
      </c>
      <c r="P48" s="25">
        <v>0.75</v>
      </c>
      <c r="Q48" s="25">
        <v>1</v>
      </c>
      <c r="R48" s="14"/>
      <c r="T48" s="24">
        <v>0</v>
      </c>
      <c r="U48" s="24">
        <v>0</v>
      </c>
      <c r="V48" s="24">
        <v>0.25</v>
      </c>
      <c r="W48" s="24">
        <v>0.25</v>
      </c>
      <c r="X48" s="25">
        <v>0.25</v>
      </c>
      <c r="Y48" s="25">
        <v>0.75</v>
      </c>
      <c r="Z48" s="25">
        <v>0.75</v>
      </c>
      <c r="AA48" s="25">
        <v>0.75</v>
      </c>
      <c r="AB48" s="24">
        <v>1</v>
      </c>
      <c r="AC48" s="24">
        <v>1</v>
      </c>
      <c r="AD48" s="24">
        <v>1</v>
      </c>
      <c r="AE48" s="24">
        <v>1</v>
      </c>
      <c r="AF48" s="25">
        <v>1</v>
      </c>
      <c r="AG48" s="25">
        <v>1</v>
      </c>
      <c r="AH48" s="25">
        <v>1</v>
      </c>
      <c r="AI48" s="25">
        <v>1</v>
      </c>
      <c r="AJ48" s="24">
        <v>1</v>
      </c>
      <c r="AK48" s="24">
        <v>1</v>
      </c>
      <c r="AL48" s="24">
        <v>1</v>
      </c>
      <c r="AM48" s="24">
        <v>1</v>
      </c>
    </row>
    <row r="49" spans="3:39" x14ac:dyDescent="0.25">
      <c r="C49" t="s">
        <v>7</v>
      </c>
      <c r="N49" s="25">
        <v>0.25</v>
      </c>
      <c r="O49" s="25">
        <v>0.5</v>
      </c>
      <c r="P49" s="25">
        <v>0.75</v>
      </c>
      <c r="Q49" s="25">
        <v>1</v>
      </c>
      <c r="R49" s="14"/>
      <c r="T49" s="24">
        <v>0</v>
      </c>
      <c r="U49" s="24">
        <v>0</v>
      </c>
      <c r="V49" s="24">
        <v>0.25</v>
      </c>
      <c r="W49" s="24">
        <v>0.25</v>
      </c>
      <c r="X49" s="25">
        <v>0.25</v>
      </c>
      <c r="Y49" s="25">
        <v>0.75</v>
      </c>
      <c r="Z49" s="25">
        <v>0.75</v>
      </c>
      <c r="AA49" s="25">
        <v>0.75</v>
      </c>
      <c r="AB49" s="24">
        <v>1</v>
      </c>
      <c r="AC49" s="24">
        <v>1</v>
      </c>
      <c r="AD49" s="24">
        <v>1</v>
      </c>
      <c r="AE49" s="24">
        <v>1</v>
      </c>
      <c r="AF49" s="25">
        <v>1</v>
      </c>
      <c r="AG49" s="25">
        <v>1</v>
      </c>
      <c r="AH49" s="25">
        <v>1</v>
      </c>
      <c r="AI49" s="25">
        <v>1</v>
      </c>
      <c r="AJ49" s="24">
        <v>1</v>
      </c>
      <c r="AK49" s="24">
        <v>1</v>
      </c>
      <c r="AL49" s="24">
        <v>1</v>
      </c>
      <c r="AM49" s="24">
        <v>1</v>
      </c>
    </row>
    <row r="50" spans="3:39" x14ac:dyDescent="0.25">
      <c r="C50" t="s">
        <v>8</v>
      </c>
      <c r="N50" s="25">
        <v>0.25</v>
      </c>
      <c r="O50" s="25">
        <v>0.5</v>
      </c>
      <c r="P50" s="25">
        <v>0.75</v>
      </c>
      <c r="Q50" s="25">
        <v>1</v>
      </c>
      <c r="R50" s="14"/>
      <c r="T50" s="24">
        <v>0</v>
      </c>
      <c r="U50" s="24">
        <v>0</v>
      </c>
      <c r="V50" s="24">
        <v>0.25</v>
      </c>
      <c r="W50" s="24">
        <v>0.25</v>
      </c>
      <c r="X50" s="25">
        <v>0.25</v>
      </c>
      <c r="Y50" s="25">
        <v>0.75</v>
      </c>
      <c r="Z50" s="25">
        <v>0.75</v>
      </c>
      <c r="AA50" s="25">
        <v>0.75</v>
      </c>
      <c r="AB50" s="24">
        <v>1</v>
      </c>
      <c r="AC50" s="24">
        <v>1</v>
      </c>
      <c r="AD50" s="24">
        <v>1</v>
      </c>
      <c r="AE50" s="24">
        <v>1</v>
      </c>
      <c r="AF50" s="25">
        <v>1</v>
      </c>
      <c r="AG50" s="25">
        <v>1</v>
      </c>
      <c r="AH50" s="25">
        <v>1</v>
      </c>
      <c r="AI50" s="25">
        <v>1</v>
      </c>
      <c r="AJ50" s="24">
        <v>1</v>
      </c>
      <c r="AK50" s="24">
        <v>1</v>
      </c>
      <c r="AL50" s="24">
        <v>1</v>
      </c>
      <c r="AM50" s="24">
        <v>1</v>
      </c>
    </row>
    <row r="51" spans="3:39" x14ac:dyDescent="0.25">
      <c r="C51" t="s">
        <v>10</v>
      </c>
      <c r="N51" s="25">
        <v>0.25</v>
      </c>
      <c r="O51" s="25">
        <v>0.5</v>
      </c>
      <c r="P51" s="25">
        <v>0.75</v>
      </c>
      <c r="Q51" s="25">
        <v>1</v>
      </c>
      <c r="R51" s="14"/>
      <c r="T51" s="24">
        <v>0</v>
      </c>
      <c r="U51" s="24">
        <v>0</v>
      </c>
      <c r="V51" s="24">
        <v>0.25</v>
      </c>
      <c r="W51" s="24">
        <v>0.25</v>
      </c>
      <c r="X51" s="25">
        <v>0.25</v>
      </c>
      <c r="Y51" s="25">
        <v>0.75</v>
      </c>
      <c r="Z51" s="25">
        <v>0.75</v>
      </c>
      <c r="AA51" s="25">
        <v>0.75</v>
      </c>
      <c r="AB51" s="24">
        <v>1</v>
      </c>
      <c r="AC51" s="24">
        <v>1</v>
      </c>
      <c r="AD51" s="24">
        <v>1</v>
      </c>
      <c r="AE51" s="24">
        <v>1</v>
      </c>
      <c r="AF51" s="25">
        <v>1</v>
      </c>
      <c r="AG51" s="25">
        <v>1</v>
      </c>
      <c r="AH51" s="25">
        <v>1</v>
      </c>
      <c r="AI51" s="25">
        <v>1</v>
      </c>
      <c r="AJ51" s="24">
        <v>1</v>
      </c>
      <c r="AK51" s="24">
        <v>1</v>
      </c>
      <c r="AL51" s="24">
        <v>1</v>
      </c>
      <c r="AM51" s="24">
        <v>1</v>
      </c>
    </row>
    <row r="52" spans="3:39" x14ac:dyDescent="0.25">
      <c r="C52" t="s">
        <v>11</v>
      </c>
      <c r="N52" s="25">
        <v>0.25</v>
      </c>
      <c r="O52" s="25">
        <v>0.5</v>
      </c>
      <c r="P52" s="25">
        <v>0.75</v>
      </c>
      <c r="Q52" s="25">
        <v>1</v>
      </c>
      <c r="R52" s="14"/>
      <c r="T52" s="24">
        <v>0</v>
      </c>
      <c r="U52" s="24">
        <v>0</v>
      </c>
      <c r="V52" s="24">
        <v>0.25</v>
      </c>
      <c r="W52" s="24">
        <v>0.25</v>
      </c>
      <c r="X52" s="25">
        <v>0.25</v>
      </c>
      <c r="Y52" s="25">
        <v>0.75</v>
      </c>
      <c r="Z52" s="25">
        <v>0.75</v>
      </c>
      <c r="AA52" s="25">
        <v>0.75</v>
      </c>
      <c r="AB52" s="24">
        <v>1</v>
      </c>
      <c r="AC52" s="24">
        <v>1</v>
      </c>
      <c r="AD52" s="24">
        <v>1</v>
      </c>
      <c r="AE52" s="24">
        <v>1</v>
      </c>
      <c r="AF52" s="25">
        <v>1</v>
      </c>
      <c r="AG52" s="25">
        <v>1</v>
      </c>
      <c r="AH52" s="25">
        <v>1</v>
      </c>
      <c r="AI52" s="25">
        <v>1</v>
      </c>
      <c r="AJ52" s="24">
        <v>1</v>
      </c>
      <c r="AK52" s="24">
        <v>1</v>
      </c>
      <c r="AL52" s="24">
        <v>1</v>
      </c>
      <c r="AM52" s="24">
        <v>1</v>
      </c>
    </row>
    <row r="53" spans="3:39" x14ac:dyDescent="0.25">
      <c r="N53" s="25"/>
      <c r="O53" s="25"/>
      <c r="P53" s="25"/>
      <c r="Q53" s="25"/>
      <c r="R53" s="14"/>
      <c r="T53" s="24"/>
      <c r="U53" s="24"/>
      <c r="V53" s="24"/>
      <c r="W53" s="24"/>
      <c r="X53" s="25"/>
      <c r="Y53" s="25"/>
      <c r="Z53" s="25"/>
      <c r="AA53" s="25"/>
      <c r="AB53" s="24"/>
      <c r="AC53" s="24"/>
      <c r="AD53" s="24"/>
      <c r="AE53" s="24"/>
      <c r="AF53" s="25"/>
      <c r="AG53" s="25"/>
      <c r="AH53" s="25"/>
      <c r="AI53" s="25"/>
      <c r="AJ53" s="24"/>
      <c r="AK53" s="24"/>
      <c r="AL53" s="24"/>
      <c r="AM53" s="24"/>
    </row>
    <row r="54" spans="3:39" x14ac:dyDescent="0.25">
      <c r="N54" s="20" t="s">
        <v>17</v>
      </c>
      <c r="O54" s="20" t="s">
        <v>18</v>
      </c>
      <c r="P54" s="20" t="s">
        <v>19</v>
      </c>
      <c r="Q54" s="20" t="s">
        <v>20</v>
      </c>
      <c r="R54" s="14"/>
      <c r="T54" s="11"/>
      <c r="U54" s="11"/>
      <c r="V54" s="11"/>
      <c r="W54" s="11"/>
      <c r="AB54" s="11"/>
      <c r="AC54" s="11"/>
      <c r="AD54" s="11"/>
      <c r="AE54" s="11"/>
      <c r="AJ54" s="11"/>
      <c r="AK54" s="11"/>
      <c r="AL54" s="11"/>
      <c r="AM54" s="11"/>
    </row>
    <row r="55" spans="3:39" x14ac:dyDescent="0.25">
      <c r="C55" s="12" t="s">
        <v>37</v>
      </c>
      <c r="N55" s="21">
        <v>45839</v>
      </c>
      <c r="O55" s="21">
        <v>46113</v>
      </c>
      <c r="P55" s="21">
        <v>46113</v>
      </c>
      <c r="Q55" s="21">
        <v>46388</v>
      </c>
      <c r="R55" s="17"/>
      <c r="T55" s="11"/>
      <c r="U55" s="11"/>
      <c r="V55" s="11"/>
      <c r="W55" s="11"/>
      <c r="AB55" s="11"/>
      <c r="AC55" s="11"/>
      <c r="AD55" s="11"/>
      <c r="AE55" s="11"/>
      <c r="AJ55" s="11"/>
      <c r="AK55" s="11"/>
      <c r="AL55" s="11"/>
      <c r="AM55" s="11"/>
    </row>
    <row r="56" spans="3:39" x14ac:dyDescent="0.25">
      <c r="C56" t="s">
        <v>4</v>
      </c>
      <c r="N56" s="23">
        <v>0.25</v>
      </c>
      <c r="O56" s="23">
        <v>0.5</v>
      </c>
      <c r="P56" s="23">
        <v>0.75</v>
      </c>
      <c r="Q56" s="23">
        <v>1</v>
      </c>
      <c r="R56" s="14"/>
      <c r="T56" s="24">
        <v>0</v>
      </c>
      <c r="U56" s="24">
        <v>0</v>
      </c>
      <c r="V56" s="24">
        <v>0.25</v>
      </c>
      <c r="W56" s="24">
        <v>0.25</v>
      </c>
      <c r="X56" s="25">
        <v>0.25</v>
      </c>
      <c r="Y56" s="25">
        <v>0.75</v>
      </c>
      <c r="Z56" s="25">
        <v>0.75</v>
      </c>
      <c r="AA56" s="25">
        <v>0.75</v>
      </c>
      <c r="AB56" s="24">
        <v>1</v>
      </c>
      <c r="AC56" s="24">
        <v>1</v>
      </c>
      <c r="AD56" s="24">
        <v>1</v>
      </c>
      <c r="AE56" s="24">
        <v>1</v>
      </c>
      <c r="AF56" s="25">
        <v>1</v>
      </c>
      <c r="AG56" s="25">
        <v>1</v>
      </c>
      <c r="AH56" s="25">
        <v>1</v>
      </c>
      <c r="AI56" s="25">
        <v>1</v>
      </c>
      <c r="AJ56" s="24">
        <v>1</v>
      </c>
      <c r="AK56" s="24">
        <v>1</v>
      </c>
      <c r="AL56" s="24">
        <v>1</v>
      </c>
      <c r="AM56" s="24">
        <v>1</v>
      </c>
    </row>
    <row r="57" spans="3:39" x14ac:dyDescent="0.25">
      <c r="C57" t="s">
        <v>5</v>
      </c>
      <c r="N57" s="25">
        <v>0.25</v>
      </c>
      <c r="O57" s="25">
        <v>0.5</v>
      </c>
      <c r="P57" s="25">
        <v>0.75</v>
      </c>
      <c r="Q57" s="25">
        <v>1</v>
      </c>
      <c r="R57" s="14"/>
      <c r="T57" s="24">
        <v>0</v>
      </c>
      <c r="U57" s="24">
        <v>0</v>
      </c>
      <c r="V57" s="24">
        <v>0.25</v>
      </c>
      <c r="W57" s="24">
        <v>0.25</v>
      </c>
      <c r="X57" s="25">
        <v>0.25</v>
      </c>
      <c r="Y57" s="25">
        <v>0.75</v>
      </c>
      <c r="Z57" s="25">
        <v>0.75</v>
      </c>
      <c r="AA57" s="25">
        <v>0.75</v>
      </c>
      <c r="AB57" s="24">
        <v>1</v>
      </c>
      <c r="AC57" s="24">
        <v>1</v>
      </c>
      <c r="AD57" s="24">
        <v>1</v>
      </c>
      <c r="AE57" s="24">
        <v>1</v>
      </c>
      <c r="AF57" s="25">
        <v>1</v>
      </c>
      <c r="AG57" s="25">
        <v>1</v>
      </c>
      <c r="AH57" s="25">
        <v>1</v>
      </c>
      <c r="AI57" s="25">
        <v>1</v>
      </c>
      <c r="AJ57" s="24">
        <v>1</v>
      </c>
      <c r="AK57" s="24">
        <v>1</v>
      </c>
      <c r="AL57" s="24">
        <v>1</v>
      </c>
      <c r="AM57" s="24">
        <v>1</v>
      </c>
    </row>
    <row r="58" spans="3:39" x14ac:dyDescent="0.25">
      <c r="C58" t="s">
        <v>6</v>
      </c>
      <c r="N58" s="25">
        <v>0.25</v>
      </c>
      <c r="O58" s="25">
        <v>0.5</v>
      </c>
      <c r="P58" s="25">
        <v>0.75</v>
      </c>
      <c r="Q58" s="25">
        <v>1</v>
      </c>
      <c r="R58" s="14"/>
      <c r="T58" s="24">
        <v>0</v>
      </c>
      <c r="U58" s="24">
        <v>0</v>
      </c>
      <c r="V58" s="24">
        <v>0.25</v>
      </c>
      <c r="W58" s="24">
        <v>0.25</v>
      </c>
      <c r="X58" s="25">
        <v>0.25</v>
      </c>
      <c r="Y58" s="25">
        <v>0.75</v>
      </c>
      <c r="Z58" s="25">
        <v>0.75</v>
      </c>
      <c r="AA58" s="25">
        <v>0.75</v>
      </c>
      <c r="AB58" s="24">
        <v>1</v>
      </c>
      <c r="AC58" s="24">
        <v>1</v>
      </c>
      <c r="AD58" s="24">
        <v>1</v>
      </c>
      <c r="AE58" s="24">
        <v>1</v>
      </c>
      <c r="AF58" s="25">
        <v>1</v>
      </c>
      <c r="AG58" s="25">
        <v>1</v>
      </c>
      <c r="AH58" s="25">
        <v>1</v>
      </c>
      <c r="AI58" s="25">
        <v>1</v>
      </c>
      <c r="AJ58" s="24">
        <v>1</v>
      </c>
      <c r="AK58" s="24">
        <v>1</v>
      </c>
      <c r="AL58" s="24">
        <v>1</v>
      </c>
      <c r="AM58" s="24">
        <v>1</v>
      </c>
    </row>
    <row r="59" spans="3:39" x14ac:dyDescent="0.25">
      <c r="C59" t="s">
        <v>7</v>
      </c>
      <c r="N59" s="25">
        <v>0.25</v>
      </c>
      <c r="O59" s="25">
        <v>0.5</v>
      </c>
      <c r="P59" s="25">
        <v>0.75</v>
      </c>
      <c r="Q59" s="25">
        <v>1</v>
      </c>
      <c r="R59" s="14"/>
      <c r="T59" s="24">
        <v>0</v>
      </c>
      <c r="U59" s="24">
        <v>0</v>
      </c>
      <c r="V59" s="24">
        <v>0.25</v>
      </c>
      <c r="W59" s="24">
        <v>0.25</v>
      </c>
      <c r="X59" s="25">
        <v>0.25</v>
      </c>
      <c r="Y59" s="25">
        <v>0.75</v>
      </c>
      <c r="Z59" s="25">
        <v>0.75</v>
      </c>
      <c r="AA59" s="25">
        <v>0.75</v>
      </c>
      <c r="AB59" s="24">
        <v>1</v>
      </c>
      <c r="AC59" s="24">
        <v>1</v>
      </c>
      <c r="AD59" s="24">
        <v>1</v>
      </c>
      <c r="AE59" s="24">
        <v>1</v>
      </c>
      <c r="AF59" s="25">
        <v>1</v>
      </c>
      <c r="AG59" s="25">
        <v>1</v>
      </c>
      <c r="AH59" s="25">
        <v>1</v>
      </c>
      <c r="AI59" s="25">
        <v>1</v>
      </c>
      <c r="AJ59" s="24">
        <v>1</v>
      </c>
      <c r="AK59" s="24">
        <v>1</v>
      </c>
      <c r="AL59" s="24">
        <v>1</v>
      </c>
      <c r="AM59" s="24">
        <v>1</v>
      </c>
    </row>
    <row r="60" spans="3:39" x14ac:dyDescent="0.25">
      <c r="C60" t="s">
        <v>8</v>
      </c>
      <c r="N60" s="25">
        <v>0.25</v>
      </c>
      <c r="O60" s="25">
        <v>0.5</v>
      </c>
      <c r="P60" s="25">
        <v>0.75</v>
      </c>
      <c r="Q60" s="25">
        <v>1</v>
      </c>
      <c r="R60" s="14"/>
      <c r="T60" s="24">
        <v>0</v>
      </c>
      <c r="U60" s="24">
        <v>0</v>
      </c>
      <c r="V60" s="24">
        <v>0.25</v>
      </c>
      <c r="W60" s="24">
        <v>0.25</v>
      </c>
      <c r="X60" s="25">
        <v>0.25</v>
      </c>
      <c r="Y60" s="25">
        <v>0.75</v>
      </c>
      <c r="Z60" s="25">
        <v>0.75</v>
      </c>
      <c r="AA60" s="25">
        <v>0.75</v>
      </c>
      <c r="AB60" s="24">
        <v>1</v>
      </c>
      <c r="AC60" s="24">
        <v>1</v>
      </c>
      <c r="AD60" s="24">
        <v>1</v>
      </c>
      <c r="AE60" s="24">
        <v>1</v>
      </c>
      <c r="AF60" s="25">
        <v>1</v>
      </c>
      <c r="AG60" s="25">
        <v>1</v>
      </c>
      <c r="AH60" s="25">
        <v>1</v>
      </c>
      <c r="AI60" s="25">
        <v>1</v>
      </c>
      <c r="AJ60" s="24">
        <v>1</v>
      </c>
      <c r="AK60" s="24">
        <v>1</v>
      </c>
      <c r="AL60" s="24">
        <v>1</v>
      </c>
      <c r="AM60" s="24">
        <v>1</v>
      </c>
    </row>
    <row r="61" spans="3:39" x14ac:dyDescent="0.25">
      <c r="C61" t="s">
        <v>9</v>
      </c>
      <c r="N61" s="25">
        <v>0.25</v>
      </c>
      <c r="O61" s="25">
        <v>0.5</v>
      </c>
      <c r="P61" s="25">
        <v>0.75</v>
      </c>
      <c r="Q61" s="25">
        <v>1</v>
      </c>
      <c r="R61" s="14"/>
      <c r="T61" s="24">
        <v>0</v>
      </c>
      <c r="U61" s="24">
        <v>0</v>
      </c>
      <c r="V61" s="24">
        <v>0.25</v>
      </c>
      <c r="W61" s="24">
        <v>0.25</v>
      </c>
      <c r="X61" s="25">
        <v>0.25</v>
      </c>
      <c r="Y61" s="25">
        <v>0.75</v>
      </c>
      <c r="Z61" s="25">
        <v>0.75</v>
      </c>
      <c r="AA61" s="25">
        <v>0.75</v>
      </c>
      <c r="AB61" s="24">
        <v>1</v>
      </c>
      <c r="AC61" s="24">
        <v>1</v>
      </c>
      <c r="AD61" s="24">
        <v>1</v>
      </c>
      <c r="AE61" s="24">
        <v>1</v>
      </c>
      <c r="AF61" s="25">
        <v>1</v>
      </c>
      <c r="AG61" s="25">
        <v>1</v>
      </c>
      <c r="AH61" s="25">
        <v>1</v>
      </c>
      <c r="AI61" s="25">
        <v>1</v>
      </c>
      <c r="AJ61" s="24">
        <v>1</v>
      </c>
      <c r="AK61" s="24">
        <v>1</v>
      </c>
      <c r="AL61" s="24">
        <v>1</v>
      </c>
      <c r="AM61" s="24">
        <v>1</v>
      </c>
    </row>
    <row r="62" spans="3:39" x14ac:dyDescent="0.25">
      <c r="C62" t="s">
        <v>10</v>
      </c>
      <c r="N62" s="25">
        <v>0.25</v>
      </c>
      <c r="O62" s="25">
        <v>0.5</v>
      </c>
      <c r="P62" s="25">
        <v>0.75</v>
      </c>
      <c r="Q62" s="25">
        <v>1</v>
      </c>
      <c r="R62" s="14"/>
      <c r="T62" s="24">
        <v>0</v>
      </c>
      <c r="U62" s="24">
        <v>0</v>
      </c>
      <c r="V62" s="24">
        <v>0.25</v>
      </c>
      <c r="W62" s="24">
        <v>0.25</v>
      </c>
      <c r="X62" s="25">
        <v>0.25</v>
      </c>
      <c r="Y62" s="25">
        <v>0.75</v>
      </c>
      <c r="Z62" s="25">
        <v>0.75</v>
      </c>
      <c r="AA62" s="25">
        <v>0.75</v>
      </c>
      <c r="AB62" s="24">
        <v>1</v>
      </c>
      <c r="AC62" s="24">
        <v>1</v>
      </c>
      <c r="AD62" s="24">
        <v>1</v>
      </c>
      <c r="AE62" s="24">
        <v>1</v>
      </c>
      <c r="AF62" s="25">
        <v>1</v>
      </c>
      <c r="AG62" s="25">
        <v>1</v>
      </c>
      <c r="AH62" s="25">
        <v>1</v>
      </c>
      <c r="AI62" s="25">
        <v>1</v>
      </c>
      <c r="AJ62" s="24">
        <v>1</v>
      </c>
      <c r="AK62" s="24">
        <v>1</v>
      </c>
      <c r="AL62" s="24">
        <v>1</v>
      </c>
      <c r="AM62" s="24">
        <v>1</v>
      </c>
    </row>
    <row r="63" spans="3:39" x14ac:dyDescent="0.25">
      <c r="C63" t="s">
        <v>11</v>
      </c>
      <c r="N63" s="25">
        <v>0.25</v>
      </c>
      <c r="O63" s="25">
        <v>0.5</v>
      </c>
      <c r="P63" s="25">
        <v>0.75</v>
      </c>
      <c r="Q63" s="25">
        <v>1</v>
      </c>
      <c r="R63" s="14"/>
      <c r="T63" s="24">
        <v>0</v>
      </c>
      <c r="U63" s="24">
        <v>0</v>
      </c>
      <c r="V63" s="24">
        <v>0.25</v>
      </c>
      <c r="W63" s="24">
        <v>0.25</v>
      </c>
      <c r="X63" s="25">
        <v>0.25</v>
      </c>
      <c r="Y63" s="25">
        <v>0.75</v>
      </c>
      <c r="Z63" s="25">
        <v>0.75</v>
      </c>
      <c r="AA63" s="25">
        <v>0.75</v>
      </c>
      <c r="AB63" s="24">
        <v>1</v>
      </c>
      <c r="AC63" s="24">
        <v>1</v>
      </c>
      <c r="AD63" s="24">
        <v>1</v>
      </c>
      <c r="AE63" s="24">
        <v>1</v>
      </c>
      <c r="AF63" s="25">
        <v>1</v>
      </c>
      <c r="AG63" s="25">
        <v>1</v>
      </c>
      <c r="AH63" s="25">
        <v>1</v>
      </c>
      <c r="AI63" s="25">
        <v>1</v>
      </c>
      <c r="AJ63" s="24">
        <v>1</v>
      </c>
      <c r="AK63" s="24">
        <v>1</v>
      </c>
      <c r="AL63" s="24">
        <v>1</v>
      </c>
      <c r="AM63" s="24">
        <v>1</v>
      </c>
    </row>
    <row r="64" spans="3:39" x14ac:dyDescent="0.25">
      <c r="N64" s="25"/>
      <c r="O64" s="25"/>
      <c r="P64" s="25"/>
      <c r="Q64" s="25"/>
      <c r="R64" s="14"/>
      <c r="T64" s="24"/>
      <c r="U64" s="24"/>
      <c r="V64" s="24"/>
      <c r="W64" s="24"/>
      <c r="X64" s="25"/>
      <c r="Y64" s="25"/>
      <c r="Z64" s="25"/>
      <c r="AA64" s="25"/>
      <c r="AB64" s="24"/>
      <c r="AC64" s="24"/>
      <c r="AD64" s="24"/>
      <c r="AE64" s="24"/>
      <c r="AF64" s="25"/>
      <c r="AG64" s="25"/>
      <c r="AH64" s="25"/>
      <c r="AI64" s="25"/>
      <c r="AJ64" s="24"/>
      <c r="AK64" s="24"/>
      <c r="AL64" s="24"/>
      <c r="AM64" s="24"/>
    </row>
    <row r="65" spans="3:39" x14ac:dyDescent="0.25">
      <c r="N65" s="20" t="s">
        <v>17</v>
      </c>
      <c r="O65" s="20"/>
      <c r="P65" s="20"/>
      <c r="Q65" s="20"/>
      <c r="R65" s="17"/>
      <c r="T65" s="11"/>
      <c r="U65" s="11"/>
      <c r="V65" s="11"/>
      <c r="W65" s="11"/>
      <c r="AB65" s="11"/>
      <c r="AC65" s="11"/>
      <c r="AD65" s="11"/>
      <c r="AE65" s="11"/>
      <c r="AJ65" s="11"/>
      <c r="AK65" s="11"/>
      <c r="AL65" s="11"/>
      <c r="AM65" s="11"/>
    </row>
    <row r="66" spans="3:39" x14ac:dyDescent="0.25">
      <c r="C66" s="12" t="s">
        <v>38</v>
      </c>
      <c r="N66" s="26">
        <v>45839</v>
      </c>
      <c r="O66" s="22"/>
      <c r="P66" s="22"/>
      <c r="Q66" s="22"/>
      <c r="R66" s="17"/>
      <c r="T66" s="11"/>
      <c r="U66" s="11"/>
      <c r="V66" s="11"/>
      <c r="W66" s="11"/>
      <c r="AB66" s="11"/>
      <c r="AC66" s="11"/>
      <c r="AD66" s="11"/>
      <c r="AE66" s="11"/>
      <c r="AJ66" s="11"/>
      <c r="AK66" s="11"/>
      <c r="AL66" s="11"/>
      <c r="AM66" s="11"/>
    </row>
    <row r="67" spans="3:39" x14ac:dyDescent="0.25">
      <c r="C67" t="s">
        <v>13</v>
      </c>
      <c r="N67" s="27" t="s">
        <v>21</v>
      </c>
      <c r="O67" s="28"/>
      <c r="P67" s="28"/>
      <c r="Q67" s="28"/>
      <c r="R67" s="14"/>
      <c r="T67" s="29">
        <v>1</v>
      </c>
      <c r="U67" s="24">
        <v>1</v>
      </c>
      <c r="V67" s="24">
        <v>1</v>
      </c>
      <c r="W67" s="24">
        <v>1</v>
      </c>
      <c r="X67" s="25">
        <v>1</v>
      </c>
      <c r="Y67" s="25">
        <v>1</v>
      </c>
      <c r="Z67" s="25">
        <v>1</v>
      </c>
      <c r="AA67" s="25">
        <v>1</v>
      </c>
      <c r="AB67" s="24">
        <v>1</v>
      </c>
      <c r="AC67" s="24">
        <v>1</v>
      </c>
      <c r="AD67" s="24">
        <v>1</v>
      </c>
      <c r="AE67" s="24">
        <v>1</v>
      </c>
      <c r="AF67" s="25">
        <v>1</v>
      </c>
      <c r="AG67" s="25">
        <v>1</v>
      </c>
      <c r="AH67" s="25">
        <v>1</v>
      </c>
      <c r="AI67" s="25">
        <v>1</v>
      </c>
      <c r="AJ67" s="24">
        <v>1</v>
      </c>
      <c r="AK67" s="24">
        <v>1</v>
      </c>
      <c r="AL67" s="24">
        <v>1</v>
      </c>
      <c r="AM67" s="24">
        <v>1</v>
      </c>
    </row>
    <row r="68" spans="3:39" x14ac:dyDescent="0.25">
      <c r="C68" t="s">
        <v>14</v>
      </c>
      <c r="N68" s="27" t="s">
        <v>21</v>
      </c>
      <c r="O68" s="28"/>
      <c r="P68" s="28"/>
      <c r="Q68" s="28"/>
      <c r="R68" s="14"/>
      <c r="T68" s="29">
        <v>1</v>
      </c>
      <c r="U68" s="24">
        <v>1</v>
      </c>
      <c r="V68" s="24">
        <v>1</v>
      </c>
      <c r="W68" s="24">
        <v>1</v>
      </c>
      <c r="X68" s="25">
        <v>1</v>
      </c>
      <c r="Y68" s="25">
        <v>1</v>
      </c>
      <c r="Z68" s="25">
        <v>1</v>
      </c>
      <c r="AA68" s="25">
        <v>1</v>
      </c>
      <c r="AB68" s="24">
        <v>1</v>
      </c>
      <c r="AC68" s="24">
        <v>1</v>
      </c>
      <c r="AD68" s="24">
        <v>1</v>
      </c>
      <c r="AE68" s="24">
        <v>1</v>
      </c>
      <c r="AF68" s="25">
        <v>1</v>
      </c>
      <c r="AG68" s="25">
        <v>1</v>
      </c>
      <c r="AH68" s="25">
        <v>1</v>
      </c>
      <c r="AI68" s="25">
        <v>1</v>
      </c>
      <c r="AJ68" s="24">
        <v>1</v>
      </c>
      <c r="AK68" s="24">
        <v>1</v>
      </c>
      <c r="AL68" s="24">
        <v>1</v>
      </c>
      <c r="AM68" s="24">
        <v>1</v>
      </c>
    </row>
    <row r="69" spans="3:39" x14ac:dyDescent="0.25">
      <c r="C69" t="s">
        <v>15</v>
      </c>
      <c r="N69" s="27" t="s">
        <v>21</v>
      </c>
      <c r="O69" s="28"/>
      <c r="P69" s="28"/>
      <c r="Q69" s="28"/>
      <c r="R69" s="14"/>
      <c r="T69" s="29">
        <v>1</v>
      </c>
      <c r="U69" s="24">
        <v>1</v>
      </c>
      <c r="V69" s="24">
        <v>1</v>
      </c>
      <c r="W69" s="24">
        <v>1</v>
      </c>
      <c r="X69" s="25">
        <v>1</v>
      </c>
      <c r="Y69" s="25">
        <v>1</v>
      </c>
      <c r="Z69" s="25">
        <v>1</v>
      </c>
      <c r="AA69" s="25">
        <v>1</v>
      </c>
      <c r="AB69" s="24">
        <v>1</v>
      </c>
      <c r="AC69" s="24">
        <v>1</v>
      </c>
      <c r="AD69" s="24">
        <v>1</v>
      </c>
      <c r="AE69" s="24">
        <v>1</v>
      </c>
      <c r="AF69" s="25">
        <v>1</v>
      </c>
      <c r="AG69" s="25">
        <v>1</v>
      </c>
      <c r="AH69" s="25">
        <v>1</v>
      </c>
      <c r="AI69" s="25">
        <v>1</v>
      </c>
      <c r="AJ69" s="24">
        <v>1</v>
      </c>
      <c r="AK69" s="24">
        <v>1</v>
      </c>
      <c r="AL69" s="24">
        <v>1</v>
      </c>
      <c r="AM69" s="24">
        <v>1</v>
      </c>
    </row>
    <row r="70" spans="3:39" x14ac:dyDescent="0.25">
      <c r="C70" t="s">
        <v>7</v>
      </c>
      <c r="N70" s="30">
        <v>1</v>
      </c>
      <c r="O70" s="31"/>
      <c r="P70" s="31"/>
      <c r="Q70" s="31"/>
      <c r="R70" s="14"/>
      <c r="T70" s="24">
        <v>0</v>
      </c>
      <c r="U70" s="24">
        <v>0</v>
      </c>
      <c r="V70" s="24">
        <v>1</v>
      </c>
      <c r="W70" s="24">
        <v>1</v>
      </c>
      <c r="X70" s="25">
        <v>1</v>
      </c>
      <c r="Y70" s="25">
        <v>1</v>
      </c>
      <c r="Z70" s="25">
        <v>1</v>
      </c>
      <c r="AA70" s="25">
        <v>1</v>
      </c>
      <c r="AB70" s="24">
        <v>1</v>
      </c>
      <c r="AC70" s="24">
        <v>1</v>
      </c>
      <c r="AD70" s="24">
        <v>1</v>
      </c>
      <c r="AE70" s="24">
        <v>1</v>
      </c>
      <c r="AF70" s="25">
        <v>1</v>
      </c>
      <c r="AG70" s="25">
        <v>1</v>
      </c>
      <c r="AH70" s="25">
        <v>1</v>
      </c>
      <c r="AI70" s="25">
        <v>1</v>
      </c>
      <c r="AJ70" s="24">
        <v>1</v>
      </c>
      <c r="AK70" s="24">
        <v>1</v>
      </c>
      <c r="AL70" s="24">
        <v>1</v>
      </c>
      <c r="AM70" s="24">
        <v>1</v>
      </c>
    </row>
    <row r="71" spans="3:39" x14ac:dyDescent="0.25">
      <c r="C71" t="s">
        <v>10</v>
      </c>
      <c r="N71" s="32">
        <v>1</v>
      </c>
      <c r="O71" s="31"/>
      <c r="P71" s="31"/>
      <c r="Q71" s="31"/>
      <c r="R71" s="14"/>
      <c r="T71" s="24">
        <v>0</v>
      </c>
      <c r="U71" s="24">
        <v>0</v>
      </c>
      <c r="V71" s="24">
        <v>1</v>
      </c>
      <c r="W71" s="24">
        <v>1</v>
      </c>
      <c r="X71" s="25">
        <v>1</v>
      </c>
      <c r="Y71" s="25">
        <v>1</v>
      </c>
      <c r="Z71" s="25">
        <v>1</v>
      </c>
      <c r="AA71" s="25">
        <v>1</v>
      </c>
      <c r="AB71" s="24">
        <v>1</v>
      </c>
      <c r="AC71" s="24">
        <v>1</v>
      </c>
      <c r="AD71" s="24">
        <v>1</v>
      </c>
      <c r="AE71" s="24">
        <v>1</v>
      </c>
      <c r="AF71" s="25">
        <v>1</v>
      </c>
      <c r="AG71" s="25">
        <v>1</v>
      </c>
      <c r="AH71" s="25">
        <v>1</v>
      </c>
      <c r="AI71" s="25">
        <v>1</v>
      </c>
      <c r="AJ71" s="24">
        <v>1</v>
      </c>
      <c r="AK71" s="24">
        <v>1</v>
      </c>
      <c r="AL71" s="24">
        <v>1</v>
      </c>
      <c r="AM71" s="24">
        <v>1</v>
      </c>
    </row>
    <row r="72" spans="3:39" x14ac:dyDescent="0.25">
      <c r="C72" s="12"/>
      <c r="N72" s="17"/>
      <c r="O72" s="17"/>
      <c r="P72" s="17"/>
      <c r="Q72" s="17"/>
      <c r="R72" s="17"/>
      <c r="T72" s="15"/>
      <c r="U72" s="15"/>
      <c r="V72" s="15"/>
      <c r="W72" s="15"/>
      <c r="X72" s="16"/>
      <c r="Y72" s="16"/>
      <c r="Z72" s="16"/>
      <c r="AA72" s="16"/>
      <c r="AB72" s="15"/>
      <c r="AC72" s="15"/>
      <c r="AD72" s="15"/>
      <c r="AE72" s="15"/>
      <c r="AF72" s="16"/>
      <c r="AG72" s="16"/>
      <c r="AH72" s="16"/>
      <c r="AI72" s="16"/>
      <c r="AJ72" s="15"/>
      <c r="AK72" s="15"/>
      <c r="AL72" s="15"/>
      <c r="AM72" s="15"/>
    </row>
    <row r="73" spans="3:39" x14ac:dyDescent="0.25">
      <c r="C73" s="12" t="s">
        <v>39</v>
      </c>
      <c r="N73" s="26">
        <v>45839</v>
      </c>
      <c r="O73" s="22"/>
      <c r="P73" s="22"/>
      <c r="Q73" s="22"/>
      <c r="R73" s="17"/>
      <c r="T73" s="15"/>
      <c r="U73" s="15"/>
      <c r="V73" s="15"/>
      <c r="W73" s="15"/>
      <c r="X73" s="16"/>
      <c r="Y73" s="16"/>
      <c r="Z73" s="16"/>
      <c r="AA73" s="16"/>
      <c r="AB73" s="15"/>
      <c r="AC73" s="15"/>
      <c r="AD73" s="15"/>
      <c r="AE73" s="15"/>
      <c r="AF73" s="16"/>
      <c r="AG73" s="16"/>
      <c r="AH73" s="16"/>
      <c r="AI73" s="16"/>
      <c r="AJ73" s="15"/>
      <c r="AK73" s="15"/>
      <c r="AL73" s="15"/>
      <c r="AM73" s="15"/>
    </row>
    <row r="74" spans="3:39" x14ac:dyDescent="0.25">
      <c r="C74" t="s">
        <v>13</v>
      </c>
      <c r="N74" s="27" t="s">
        <v>21</v>
      </c>
      <c r="O74" s="28"/>
      <c r="P74" s="28"/>
      <c r="Q74" s="28"/>
      <c r="R74" s="14"/>
      <c r="T74" s="24">
        <v>1</v>
      </c>
      <c r="U74" s="24">
        <v>1</v>
      </c>
      <c r="V74" s="24">
        <v>1</v>
      </c>
      <c r="W74" s="24">
        <v>1</v>
      </c>
      <c r="X74" s="25">
        <v>1</v>
      </c>
      <c r="Y74" s="25">
        <v>1</v>
      </c>
      <c r="Z74" s="25">
        <v>1</v>
      </c>
      <c r="AA74" s="25">
        <v>1</v>
      </c>
      <c r="AB74" s="24">
        <v>1</v>
      </c>
      <c r="AC74" s="24">
        <v>1</v>
      </c>
      <c r="AD74" s="24">
        <v>1</v>
      </c>
      <c r="AE74" s="24">
        <v>1</v>
      </c>
      <c r="AF74" s="25">
        <v>1</v>
      </c>
      <c r="AG74" s="25">
        <v>1</v>
      </c>
      <c r="AH74" s="25">
        <v>1</v>
      </c>
      <c r="AI74" s="25">
        <v>1</v>
      </c>
      <c r="AJ74" s="24">
        <v>1</v>
      </c>
      <c r="AK74" s="24">
        <v>1</v>
      </c>
      <c r="AL74" s="24">
        <v>1</v>
      </c>
      <c r="AM74" s="24">
        <v>1</v>
      </c>
    </row>
    <row r="75" spans="3:39" x14ac:dyDescent="0.25">
      <c r="C75" t="s">
        <v>14</v>
      </c>
      <c r="N75" s="27" t="s">
        <v>21</v>
      </c>
      <c r="O75" s="28"/>
      <c r="P75" s="28"/>
      <c r="Q75" s="28"/>
      <c r="R75" s="14"/>
      <c r="T75" s="24">
        <v>1</v>
      </c>
      <c r="U75" s="24">
        <v>1</v>
      </c>
      <c r="V75" s="24">
        <v>1</v>
      </c>
      <c r="W75" s="24">
        <v>1</v>
      </c>
      <c r="X75" s="25">
        <v>1</v>
      </c>
      <c r="Y75" s="25">
        <v>1</v>
      </c>
      <c r="Z75" s="25">
        <v>1</v>
      </c>
      <c r="AA75" s="25">
        <v>1</v>
      </c>
      <c r="AB75" s="24">
        <v>1</v>
      </c>
      <c r="AC75" s="24">
        <v>1</v>
      </c>
      <c r="AD75" s="24">
        <v>1</v>
      </c>
      <c r="AE75" s="24">
        <v>1</v>
      </c>
      <c r="AF75" s="25">
        <v>1</v>
      </c>
      <c r="AG75" s="25">
        <v>1</v>
      </c>
      <c r="AH75" s="25">
        <v>1</v>
      </c>
      <c r="AI75" s="25">
        <v>1</v>
      </c>
      <c r="AJ75" s="24">
        <v>1</v>
      </c>
      <c r="AK75" s="24">
        <v>1</v>
      </c>
      <c r="AL75" s="24">
        <v>1</v>
      </c>
      <c r="AM75" s="24">
        <v>1</v>
      </c>
    </row>
    <row r="76" spans="3:39" x14ac:dyDescent="0.25">
      <c r="C76" t="s">
        <v>15</v>
      </c>
      <c r="N76" s="27" t="s">
        <v>21</v>
      </c>
      <c r="O76" s="28"/>
      <c r="P76" s="28"/>
      <c r="Q76" s="28"/>
      <c r="R76" s="14"/>
      <c r="T76" s="24">
        <v>1</v>
      </c>
      <c r="U76" s="24">
        <v>1</v>
      </c>
      <c r="V76" s="24">
        <v>1</v>
      </c>
      <c r="W76" s="24">
        <v>1</v>
      </c>
      <c r="X76" s="25">
        <v>1</v>
      </c>
      <c r="Y76" s="25">
        <v>1</v>
      </c>
      <c r="Z76" s="25">
        <v>1</v>
      </c>
      <c r="AA76" s="25">
        <v>1</v>
      </c>
      <c r="AB76" s="24">
        <v>1</v>
      </c>
      <c r="AC76" s="24">
        <v>1</v>
      </c>
      <c r="AD76" s="24">
        <v>1</v>
      </c>
      <c r="AE76" s="24">
        <v>1</v>
      </c>
      <c r="AF76" s="25">
        <v>1</v>
      </c>
      <c r="AG76" s="25">
        <v>1</v>
      </c>
      <c r="AH76" s="25">
        <v>1</v>
      </c>
      <c r="AI76" s="25">
        <v>1</v>
      </c>
      <c r="AJ76" s="24">
        <v>1</v>
      </c>
      <c r="AK76" s="24">
        <v>1</v>
      </c>
      <c r="AL76" s="24">
        <v>1</v>
      </c>
      <c r="AM76" s="24">
        <v>1</v>
      </c>
    </row>
    <row r="77" spans="3:39" x14ac:dyDescent="0.25">
      <c r="C77" t="s">
        <v>7</v>
      </c>
      <c r="N77" s="30">
        <v>1</v>
      </c>
      <c r="O77" s="31"/>
      <c r="P77" s="31"/>
      <c r="Q77" s="31"/>
      <c r="R77" s="14"/>
      <c r="T77" s="24">
        <v>0</v>
      </c>
      <c r="U77" s="24">
        <v>0</v>
      </c>
      <c r="V77" s="24">
        <v>1</v>
      </c>
      <c r="W77" s="24">
        <v>1</v>
      </c>
      <c r="X77" s="25">
        <v>1</v>
      </c>
      <c r="Y77" s="25">
        <v>1</v>
      </c>
      <c r="Z77" s="25">
        <v>1</v>
      </c>
      <c r="AA77" s="25">
        <v>1</v>
      </c>
      <c r="AB77" s="24">
        <v>1</v>
      </c>
      <c r="AC77" s="24">
        <v>1</v>
      </c>
      <c r="AD77" s="24">
        <v>1</v>
      </c>
      <c r="AE77" s="24">
        <v>1</v>
      </c>
      <c r="AF77" s="25">
        <v>1</v>
      </c>
      <c r="AG77" s="25">
        <v>1</v>
      </c>
      <c r="AH77" s="25">
        <v>1</v>
      </c>
      <c r="AI77" s="25">
        <v>1</v>
      </c>
      <c r="AJ77" s="24">
        <v>1</v>
      </c>
      <c r="AK77" s="24">
        <v>1</v>
      </c>
      <c r="AL77" s="24">
        <v>1</v>
      </c>
      <c r="AM77" s="24">
        <v>1</v>
      </c>
    </row>
    <row r="78" spans="3:39" x14ac:dyDescent="0.25">
      <c r="C78" t="s">
        <v>10</v>
      </c>
      <c r="N78" s="32">
        <v>1</v>
      </c>
      <c r="O78" s="31"/>
      <c r="P78" s="31"/>
      <c r="Q78" s="31"/>
      <c r="R78" s="14"/>
      <c r="T78" s="24">
        <v>0</v>
      </c>
      <c r="U78" s="24">
        <v>0</v>
      </c>
      <c r="V78" s="24">
        <v>1</v>
      </c>
      <c r="W78" s="24">
        <v>1</v>
      </c>
      <c r="X78" s="25">
        <v>1</v>
      </c>
      <c r="Y78" s="25">
        <v>1</v>
      </c>
      <c r="Z78" s="25">
        <v>1</v>
      </c>
      <c r="AA78" s="25">
        <v>1</v>
      </c>
      <c r="AB78" s="24">
        <v>1</v>
      </c>
      <c r="AC78" s="24">
        <v>1</v>
      </c>
      <c r="AD78" s="24">
        <v>1</v>
      </c>
      <c r="AE78" s="24">
        <v>1</v>
      </c>
      <c r="AF78" s="25">
        <v>1</v>
      </c>
      <c r="AG78" s="25">
        <v>1</v>
      </c>
      <c r="AH78" s="25">
        <v>1</v>
      </c>
      <c r="AI78" s="25">
        <v>1</v>
      </c>
      <c r="AJ78" s="24">
        <v>1</v>
      </c>
      <c r="AK78" s="24">
        <v>1</v>
      </c>
      <c r="AL78" s="24">
        <v>1</v>
      </c>
      <c r="AM78" s="24">
        <v>1</v>
      </c>
    </row>
    <row r="79" spans="3:39" x14ac:dyDescent="0.25">
      <c r="T79" s="11"/>
      <c r="U79" s="11"/>
      <c r="V79" s="11"/>
      <c r="W79" s="11"/>
      <c r="AB79" s="11"/>
      <c r="AC79" s="11"/>
      <c r="AD79" s="11"/>
      <c r="AE79" s="11"/>
      <c r="AJ79" s="11"/>
      <c r="AK79" s="11"/>
      <c r="AL79" s="11"/>
      <c r="AM79" s="11"/>
    </row>
    <row r="80" spans="3:39" x14ac:dyDescent="0.25">
      <c r="C80" s="12" t="s">
        <v>36</v>
      </c>
      <c r="N80" s="13"/>
      <c r="T80" s="11"/>
      <c r="U80" s="11"/>
      <c r="V80" s="11"/>
      <c r="W80" s="11"/>
      <c r="AB80" s="11"/>
      <c r="AC80" s="11"/>
      <c r="AD80" s="11"/>
      <c r="AE80" s="11"/>
      <c r="AJ80" s="11"/>
      <c r="AK80" s="11"/>
      <c r="AL80" s="11"/>
      <c r="AM80" s="11"/>
    </row>
    <row r="81" spans="3:39" x14ac:dyDescent="0.25">
      <c r="C81" t="s">
        <v>4</v>
      </c>
      <c r="N81" s="16">
        <v>56453.737501456359</v>
      </c>
      <c r="O81" s="16">
        <v>303575.24639736093</v>
      </c>
      <c r="P81" s="16">
        <v>524252.21438060596</v>
      </c>
      <c r="Q81" s="16">
        <v>534756.15459232172</v>
      </c>
      <c r="R81" s="16">
        <v>545470.02169298835</v>
      </c>
      <c r="T81" s="15">
        <v>0</v>
      </c>
      <c r="U81" s="15">
        <v>0</v>
      </c>
      <c r="V81" s="15">
        <v>22127.159463839849</v>
      </c>
      <c r="W81" s="15">
        <v>34326.578037616513</v>
      </c>
      <c r="X81" s="16">
        <v>40881.0009246638</v>
      </c>
      <c r="Y81" s="16">
        <v>89913.405570395596</v>
      </c>
      <c r="Z81" s="16">
        <v>67721.808440331908</v>
      </c>
      <c r="AA81" s="16">
        <v>105059.03146196963</v>
      </c>
      <c r="AB81" s="15">
        <v>166856.08794660386</v>
      </c>
      <c r="AC81" s="15">
        <v>122327.39551460293</v>
      </c>
      <c r="AD81" s="15">
        <v>92135.676471054248</v>
      </c>
      <c r="AE81" s="15">
        <v>142933.05444834489</v>
      </c>
      <c r="AF81" s="16">
        <v>170199.2237954865</v>
      </c>
      <c r="AG81" s="16">
        <v>124778.35254157211</v>
      </c>
      <c r="AH81" s="16">
        <v>93981.710899657206</v>
      </c>
      <c r="AI81" s="16">
        <v>145796.86735560585</v>
      </c>
      <c r="AJ81" s="15">
        <v>173609.17401059272</v>
      </c>
      <c r="AK81" s="15">
        <v>127278.29326163676</v>
      </c>
      <c r="AL81" s="15">
        <v>95864.639318199363</v>
      </c>
      <c r="AM81" s="15">
        <v>148717.91510255949</v>
      </c>
    </row>
    <row r="82" spans="3:39" x14ac:dyDescent="0.25">
      <c r="C82" t="s">
        <v>5</v>
      </c>
      <c r="N82" s="16">
        <v>988808.94421268289</v>
      </c>
      <c r="O82" s="16">
        <v>5307371.6766546182</v>
      </c>
      <c r="P82" s="16">
        <v>9142540.9402229283</v>
      </c>
      <c r="Q82" s="16">
        <v>9302642.4292702321</v>
      </c>
      <c r="R82" s="16">
        <v>9462948.5361077636</v>
      </c>
      <c r="T82" s="15">
        <v>0</v>
      </c>
      <c r="U82" s="15">
        <v>0</v>
      </c>
      <c r="V82" s="15">
        <v>387565.71586249222</v>
      </c>
      <c r="W82" s="15">
        <v>601243.22835019068</v>
      </c>
      <c r="X82" s="16">
        <v>714717.91259571584</v>
      </c>
      <c r="Y82" s="16">
        <v>1571945.8939390839</v>
      </c>
      <c r="Z82" s="16">
        <v>1183972.7127737638</v>
      </c>
      <c r="AA82" s="16">
        <v>1836735.1573460544</v>
      </c>
      <c r="AB82" s="15">
        <v>2909837.237367894</v>
      </c>
      <c r="AC82" s="15">
        <v>2133292.317943661</v>
      </c>
      <c r="AD82" s="15">
        <v>1606772.7919603989</v>
      </c>
      <c r="AE82" s="15">
        <v>2492638.5929509741</v>
      </c>
      <c r="AF82" s="16">
        <v>2960793.4515794469</v>
      </c>
      <c r="AG82" s="16">
        <v>2170649.9058296853</v>
      </c>
      <c r="AH82" s="16">
        <v>1634910.1247036178</v>
      </c>
      <c r="AI82" s="16">
        <v>2536288.9471574817</v>
      </c>
      <c r="AJ82" s="15">
        <v>3011814.7904067193</v>
      </c>
      <c r="AK82" s="15">
        <v>2208055.2386000762</v>
      </c>
      <c r="AL82" s="15">
        <v>1663083.4183793869</v>
      </c>
      <c r="AM82" s="15">
        <v>2579995.0887215803</v>
      </c>
    </row>
    <row r="83" spans="3:39" x14ac:dyDescent="0.25">
      <c r="C83" t="s">
        <v>6</v>
      </c>
      <c r="N83" s="16">
        <v>3742866.8044667286</v>
      </c>
      <c r="O83" s="16">
        <v>20263129.052090246</v>
      </c>
      <c r="P83" s="16">
        <v>35202699.510266714</v>
      </c>
      <c r="Q83" s="16">
        <v>36115550.47016862</v>
      </c>
      <c r="R83" s="16">
        <v>37031334.151783288</v>
      </c>
      <c r="T83" s="15">
        <v>0</v>
      </c>
      <c r="U83" s="15">
        <v>0</v>
      </c>
      <c r="V83" s="15">
        <v>1467024.4044021261</v>
      </c>
      <c r="W83" s="15">
        <v>2275842.4000646025</v>
      </c>
      <c r="X83" s="16">
        <v>2728736.9683323582</v>
      </c>
      <c r="Y83" s="16">
        <v>6001566.2087318813</v>
      </c>
      <c r="Z83" s="16">
        <v>4520315.013666112</v>
      </c>
      <c r="AA83" s="16">
        <v>7012510.8613598943</v>
      </c>
      <c r="AB83" s="15">
        <v>11204120.01002742</v>
      </c>
      <c r="AC83" s="15">
        <v>8214089.3792158291</v>
      </c>
      <c r="AD83" s="15">
        <v>6186763.6302074911</v>
      </c>
      <c r="AE83" s="15">
        <v>9597726.4908159729</v>
      </c>
      <c r="AF83" s="16">
        <v>11494657.152016398</v>
      </c>
      <c r="AG83" s="16">
        <v>8427091.2080201916</v>
      </c>
      <c r="AH83" s="16">
        <v>6347194.3129985658</v>
      </c>
      <c r="AI83" s="16">
        <v>9846607.7971334644</v>
      </c>
      <c r="AJ83" s="15">
        <v>11786127.704410911</v>
      </c>
      <c r="AK83" s="15">
        <v>8640777.349067878</v>
      </c>
      <c r="AL83" s="15">
        <v>6508140.4123992315</v>
      </c>
      <c r="AM83" s="15">
        <v>10096288.685905267</v>
      </c>
    </row>
    <row r="84" spans="3:39" x14ac:dyDescent="0.25">
      <c r="C84" t="s">
        <v>7</v>
      </c>
      <c r="N84" s="16">
        <v>1814778.134854658</v>
      </c>
      <c r="O84" s="16">
        <v>9764237.3598948251</v>
      </c>
      <c r="P84" s="16">
        <v>16864767.703054793</v>
      </c>
      <c r="Q84" s="16">
        <v>17206110.717085443</v>
      </c>
      <c r="R84" s="16">
        <v>17549543.096518982</v>
      </c>
      <c r="T84" s="15">
        <v>0</v>
      </c>
      <c r="U84" s="15">
        <v>0</v>
      </c>
      <c r="V84" s="15">
        <v>711306.05268398672</v>
      </c>
      <c r="W84" s="15">
        <v>1103472.0821706713</v>
      </c>
      <c r="X84" s="16">
        <v>1314902.3224904391</v>
      </c>
      <c r="Y84" s="16">
        <v>2891987.5524919098</v>
      </c>
      <c r="Z84" s="16">
        <v>2178213.8692138041</v>
      </c>
      <c r="AA84" s="16">
        <v>3379133.6156986728</v>
      </c>
      <c r="AB84" s="15">
        <v>5367624.7536400594</v>
      </c>
      <c r="AC84" s="15">
        <v>3935172.9043451124</v>
      </c>
      <c r="AD84" s="15">
        <v>2963929.8380150516</v>
      </c>
      <c r="AE84" s="15">
        <v>4598040.2070545722</v>
      </c>
      <c r="AF84" s="16">
        <v>5476265.5154847139</v>
      </c>
      <c r="AG84" s="16">
        <v>4014820.8309309967</v>
      </c>
      <c r="AH84" s="16">
        <v>3023919.7982740453</v>
      </c>
      <c r="AI84" s="16">
        <v>4691104.5723956861</v>
      </c>
      <c r="AJ84" s="15">
        <v>5585571.2689647973</v>
      </c>
      <c r="AK84" s="15">
        <v>4094956.2835987988</v>
      </c>
      <c r="AL84" s="15">
        <v>3084276.9579258319</v>
      </c>
      <c r="AM84" s="15">
        <v>4784738.5860295529</v>
      </c>
    </row>
    <row r="85" spans="3:39" x14ac:dyDescent="0.25">
      <c r="C85" t="s">
        <v>8</v>
      </c>
      <c r="N85" s="16">
        <v>3130474.9538481915</v>
      </c>
      <c r="O85" s="16">
        <v>17034517.778944798</v>
      </c>
      <c r="P85" s="16">
        <v>29747198.945713438</v>
      </c>
      <c r="Q85" s="16">
        <v>30679782.958735585</v>
      </c>
      <c r="R85" s="16">
        <v>31629379.670415077</v>
      </c>
      <c r="T85" s="15">
        <v>0</v>
      </c>
      <c r="U85" s="15">
        <v>0</v>
      </c>
      <c r="V85" s="15">
        <v>1226996.1488301582</v>
      </c>
      <c r="W85" s="15">
        <v>1903478.8050180334</v>
      </c>
      <c r="X85" s="16">
        <v>2293955.6019027843</v>
      </c>
      <c r="Y85" s="16">
        <v>5045310.9202110916</v>
      </c>
      <c r="Z85" s="16">
        <v>3800073.8320710333</v>
      </c>
      <c r="AA85" s="16">
        <v>5895177.4247598853</v>
      </c>
      <c r="AB85" s="15">
        <v>9467773.5397176445</v>
      </c>
      <c r="AC85" s="15">
        <v>6941119.695952368</v>
      </c>
      <c r="AD85" s="15">
        <v>5227976.5784499673</v>
      </c>
      <c r="AE85" s="15">
        <v>8110329.1315934565</v>
      </c>
      <c r="AF85" s="16">
        <v>9764591.2084389254</v>
      </c>
      <c r="AG85" s="16">
        <v>7158725.9745378383</v>
      </c>
      <c r="AH85" s="16">
        <v>5391875.2832125295</v>
      </c>
      <c r="AI85" s="16">
        <v>8364590.492546292</v>
      </c>
      <c r="AJ85" s="15">
        <v>10066823.584557738</v>
      </c>
      <c r="AK85" s="15">
        <v>7380301.94378048</v>
      </c>
      <c r="AL85" s="15">
        <v>5558763.9162126752</v>
      </c>
      <c r="AM85" s="15">
        <v>8623490.2258641869</v>
      </c>
    </row>
    <row r="86" spans="3:39" x14ac:dyDescent="0.25">
      <c r="C86" t="s">
        <v>9</v>
      </c>
      <c r="N86" s="16">
        <v>0</v>
      </c>
      <c r="O86" s="16">
        <v>0</v>
      </c>
      <c r="P86" s="16">
        <v>0</v>
      </c>
      <c r="Q86" s="16">
        <v>0</v>
      </c>
      <c r="R86" s="16">
        <v>0</v>
      </c>
      <c r="T86" s="15">
        <v>0</v>
      </c>
      <c r="U86" s="15">
        <v>0</v>
      </c>
      <c r="V86" s="15">
        <v>0</v>
      </c>
      <c r="W86" s="15">
        <v>0</v>
      </c>
      <c r="X86" s="16">
        <v>0</v>
      </c>
      <c r="Y86" s="16">
        <v>0</v>
      </c>
      <c r="Z86" s="16">
        <v>0</v>
      </c>
      <c r="AA86" s="16">
        <v>0</v>
      </c>
      <c r="AB86" s="15">
        <v>0</v>
      </c>
      <c r="AC86" s="15">
        <v>0</v>
      </c>
      <c r="AD86" s="15">
        <v>0</v>
      </c>
      <c r="AE86" s="15">
        <v>0</v>
      </c>
      <c r="AF86" s="16">
        <v>0</v>
      </c>
      <c r="AG86" s="16">
        <v>0</v>
      </c>
      <c r="AH86" s="16">
        <v>0</v>
      </c>
      <c r="AI86" s="16">
        <v>0</v>
      </c>
      <c r="AJ86" s="15">
        <v>0</v>
      </c>
      <c r="AK86" s="15">
        <v>0</v>
      </c>
      <c r="AL86" s="15">
        <v>0</v>
      </c>
      <c r="AM86" s="15">
        <v>0</v>
      </c>
    </row>
    <row r="87" spans="3:39" x14ac:dyDescent="0.25">
      <c r="C87" t="s">
        <v>10</v>
      </c>
      <c r="N87" s="16">
        <v>2395416.4618143206</v>
      </c>
      <c r="O87" s="16">
        <v>12978504.459571617</v>
      </c>
      <c r="P87" s="16">
        <v>22571505.518481083</v>
      </c>
      <c r="Q87" s="16">
        <v>23185070.067639973</v>
      </c>
      <c r="R87" s="16">
        <v>23802794.265848834</v>
      </c>
      <c r="T87" s="15">
        <v>0</v>
      </c>
      <c r="U87" s="15">
        <v>0</v>
      </c>
      <c r="V87" s="15">
        <v>938888.44882068527</v>
      </c>
      <c r="W87" s="15">
        <v>1456528.0129936351</v>
      </c>
      <c r="X87" s="16">
        <v>1747752.0288924091</v>
      </c>
      <c r="Y87" s="16">
        <v>3843994.3606047435</v>
      </c>
      <c r="Z87" s="16">
        <v>2895255.1411344032</v>
      </c>
      <c r="AA87" s="16">
        <v>4491502.9289400615</v>
      </c>
      <c r="AB87" s="15">
        <v>7183933.623110434</v>
      </c>
      <c r="AC87" s="15">
        <v>5266765.5132014686</v>
      </c>
      <c r="AD87" s="15">
        <v>3966871.0457855579</v>
      </c>
      <c r="AE87" s="15">
        <v>6153935.336383624</v>
      </c>
      <c r="AF87" s="16">
        <v>7379215.5457558734</v>
      </c>
      <c r="AG87" s="16">
        <v>5409932.7735770401</v>
      </c>
      <c r="AH87" s="16">
        <v>4074703.0839624535</v>
      </c>
      <c r="AI87" s="16">
        <v>6321218.6643446051</v>
      </c>
      <c r="AJ87" s="15">
        <v>7575821.3784367321</v>
      </c>
      <c r="AK87" s="15">
        <v>5554070.6336383745</v>
      </c>
      <c r="AL87" s="15">
        <v>4183266.1673664143</v>
      </c>
      <c r="AM87" s="15">
        <v>6489636.0864073122</v>
      </c>
    </row>
    <row r="88" spans="3:39" x14ac:dyDescent="0.25">
      <c r="C88" t="s">
        <v>11</v>
      </c>
      <c r="N88" s="16">
        <v>89177.35344437731</v>
      </c>
      <c r="O88" s="16">
        <v>483830.83614236687</v>
      </c>
      <c r="P88" s="16">
        <v>842525.79519546148</v>
      </c>
      <c r="Q88" s="16">
        <v>866705.47564474726</v>
      </c>
      <c r="R88" s="16">
        <v>891308.37698084442</v>
      </c>
      <c r="T88" s="15">
        <v>0</v>
      </c>
      <c r="U88" s="15">
        <v>0</v>
      </c>
      <c r="V88" s="15">
        <v>34953.248581212894</v>
      </c>
      <c r="W88" s="15">
        <v>54224.104863164423</v>
      </c>
      <c r="X88" s="16">
        <v>65155.143887544938</v>
      </c>
      <c r="Y88" s="16">
        <v>143301.79655224498</v>
      </c>
      <c r="Z88" s="16">
        <v>107933.3693758103</v>
      </c>
      <c r="AA88" s="16">
        <v>167440.52632676667</v>
      </c>
      <c r="AB88" s="15">
        <v>268154.43850153225</v>
      </c>
      <c r="AC88" s="15">
        <v>196592.37167342959</v>
      </c>
      <c r="AD88" s="15">
        <v>148071.2564588043</v>
      </c>
      <c r="AE88" s="15">
        <v>229707.7285616954</v>
      </c>
      <c r="AF88" s="16">
        <v>275850.21312469436</v>
      </c>
      <c r="AG88" s="16">
        <v>202234.38376722901</v>
      </c>
      <c r="AH88" s="16">
        <v>152320.75918657245</v>
      </c>
      <c r="AI88" s="16">
        <v>236300.11956625158</v>
      </c>
      <c r="AJ88" s="15">
        <v>283680.68814505753</v>
      </c>
      <c r="AK88" s="15">
        <v>207975.14891803201</v>
      </c>
      <c r="AL88" s="15">
        <v>156644.64165301103</v>
      </c>
      <c r="AM88" s="15">
        <v>243007.8982647438</v>
      </c>
    </row>
    <row r="89" spans="3:39" x14ac:dyDescent="0.25">
      <c r="N89" s="14"/>
      <c r="O89" s="14"/>
      <c r="P89" s="14"/>
      <c r="Q89" s="14"/>
      <c r="R89" s="14"/>
      <c r="T89" s="11"/>
      <c r="U89" s="11"/>
      <c r="V89" s="11"/>
      <c r="W89" s="11"/>
      <c r="AB89" s="11"/>
      <c r="AC89" s="11"/>
      <c r="AD89" s="11"/>
      <c r="AE89" s="11"/>
      <c r="AJ89" s="11"/>
      <c r="AK89" s="11"/>
      <c r="AL89" s="11"/>
      <c r="AM89" s="11"/>
    </row>
    <row r="90" spans="3:39" x14ac:dyDescent="0.25">
      <c r="C90" s="12" t="s">
        <v>37</v>
      </c>
      <c r="N90" s="17"/>
      <c r="O90" s="17"/>
      <c r="P90" s="17"/>
      <c r="Q90" s="17"/>
      <c r="R90" s="17"/>
      <c r="T90" s="11"/>
      <c r="U90" s="11"/>
      <c r="V90" s="11"/>
      <c r="W90" s="11"/>
      <c r="AB90" s="11"/>
      <c r="AC90" s="11"/>
      <c r="AD90" s="11"/>
      <c r="AE90" s="11"/>
      <c r="AJ90" s="11"/>
      <c r="AK90" s="11"/>
      <c r="AL90" s="11"/>
      <c r="AM90" s="11"/>
    </row>
    <row r="91" spans="3:39" x14ac:dyDescent="0.25">
      <c r="C91" t="s">
        <v>4</v>
      </c>
      <c r="N91" s="16">
        <v>0</v>
      </c>
      <c r="O91" s="16">
        <v>0</v>
      </c>
      <c r="P91" s="16">
        <v>0</v>
      </c>
      <c r="Q91" s="16">
        <v>0</v>
      </c>
      <c r="R91" s="16">
        <v>0</v>
      </c>
      <c r="T91" s="15">
        <v>0</v>
      </c>
      <c r="U91" s="15">
        <v>0</v>
      </c>
      <c r="V91" s="15">
        <v>0</v>
      </c>
      <c r="W91" s="15">
        <v>0</v>
      </c>
      <c r="X91" s="16">
        <v>0</v>
      </c>
      <c r="Y91" s="16">
        <v>0</v>
      </c>
      <c r="Z91" s="16">
        <v>0</v>
      </c>
      <c r="AA91" s="16">
        <v>0</v>
      </c>
      <c r="AB91" s="15">
        <v>0</v>
      </c>
      <c r="AC91" s="15">
        <v>0</v>
      </c>
      <c r="AD91" s="15">
        <v>0</v>
      </c>
      <c r="AE91" s="15">
        <v>0</v>
      </c>
      <c r="AF91" s="16">
        <v>0</v>
      </c>
      <c r="AG91" s="16">
        <v>0</v>
      </c>
      <c r="AH91" s="16">
        <v>0</v>
      </c>
      <c r="AI91" s="16">
        <v>0</v>
      </c>
      <c r="AJ91" s="15">
        <v>0</v>
      </c>
      <c r="AK91" s="15">
        <v>0</v>
      </c>
      <c r="AL91" s="15">
        <v>0</v>
      </c>
      <c r="AM91" s="15">
        <v>0</v>
      </c>
    </row>
    <row r="92" spans="3:39" x14ac:dyDescent="0.25">
      <c r="C92" t="s">
        <v>5</v>
      </c>
      <c r="N92" s="16">
        <v>181397.6390835651</v>
      </c>
      <c r="O92" s="16">
        <v>937129.23144752975</v>
      </c>
      <c r="P92" s="16">
        <v>1614309.848031817</v>
      </c>
      <c r="Q92" s="16">
        <v>1642579.1674850732</v>
      </c>
      <c r="R92" s="16">
        <v>1670884.6165565588</v>
      </c>
      <c r="T92" s="15">
        <v>0</v>
      </c>
      <c r="U92" s="15">
        <v>0</v>
      </c>
      <c r="V92" s="15">
        <v>71099.180745341553</v>
      </c>
      <c r="W92" s="15">
        <v>110298.45833822353</v>
      </c>
      <c r="X92" s="16">
        <v>126198.63256963163</v>
      </c>
      <c r="Y92" s="16">
        <v>277560.44558627548</v>
      </c>
      <c r="Z92" s="16">
        <v>209055.53746254585</v>
      </c>
      <c r="AA92" s="16">
        <v>324314.61582907679</v>
      </c>
      <c r="AB92" s="15">
        <v>513793.58749014779</v>
      </c>
      <c r="AC92" s="15">
        <v>376678.08327069978</v>
      </c>
      <c r="AD92" s="15">
        <v>283709.87437415874</v>
      </c>
      <c r="AE92" s="15">
        <v>440128.30289681064</v>
      </c>
      <c r="AF92" s="16">
        <v>522790.9897394756</v>
      </c>
      <c r="AG92" s="16">
        <v>383274.35912195739</v>
      </c>
      <c r="AH92" s="16">
        <v>288678.11828378035</v>
      </c>
      <c r="AI92" s="16">
        <v>447835.70033985976</v>
      </c>
      <c r="AJ92" s="15">
        <v>531799.89112336386</v>
      </c>
      <c r="AK92" s="15">
        <v>389879.06534695061</v>
      </c>
      <c r="AL92" s="15">
        <v>293652.71186007938</v>
      </c>
      <c r="AM92" s="15">
        <v>455552.94822616491</v>
      </c>
    </row>
    <row r="93" spans="3:39" x14ac:dyDescent="0.25">
      <c r="C93" t="s">
        <v>6</v>
      </c>
      <c r="N93" s="16">
        <v>246251.28328149475</v>
      </c>
      <c r="O93" s="16">
        <v>1283161.6714706807</v>
      </c>
      <c r="P93" s="16">
        <v>2229209.2513329983</v>
      </c>
      <c r="Q93" s="16">
        <v>2287015.4944112599</v>
      </c>
      <c r="R93" s="16">
        <v>2345007.4519507587</v>
      </c>
      <c r="T93" s="15">
        <v>0</v>
      </c>
      <c r="U93" s="15">
        <v>0</v>
      </c>
      <c r="V93" s="15">
        <v>96518.701055076614</v>
      </c>
      <c r="W93" s="15">
        <v>149732.58222641813</v>
      </c>
      <c r="X93" s="16">
        <v>172797.13711974793</v>
      </c>
      <c r="Y93" s="16">
        <v>380048.89116787032</v>
      </c>
      <c r="Z93" s="16">
        <v>286248.73056866264</v>
      </c>
      <c r="AA93" s="16">
        <v>444066.9126143998</v>
      </c>
      <c r="AB93" s="15">
        <v>709500.36011056625</v>
      </c>
      <c r="AC93" s="15">
        <v>520156.81439668423</v>
      </c>
      <c r="AD93" s="15">
        <v>391776.50896479707</v>
      </c>
      <c r="AE93" s="15">
        <v>607775.5678609506</v>
      </c>
      <c r="AF93" s="16">
        <v>727898.61063646048</v>
      </c>
      <c r="AG93" s="16">
        <v>533645.14494880673</v>
      </c>
      <c r="AH93" s="16">
        <v>401935.7742271449</v>
      </c>
      <c r="AI93" s="16">
        <v>623535.96459884767</v>
      </c>
      <c r="AJ93" s="15">
        <v>746355.96933133737</v>
      </c>
      <c r="AK93" s="15">
        <v>547176.80954078515</v>
      </c>
      <c r="AL93" s="15">
        <v>412127.67822147557</v>
      </c>
      <c r="AM93" s="15">
        <v>639346.99485716049</v>
      </c>
    </row>
    <row r="94" spans="3:39" x14ac:dyDescent="0.25">
      <c r="C94" t="s">
        <v>7</v>
      </c>
      <c r="N94" s="16">
        <v>1732692.6264900998</v>
      </c>
      <c r="O94" s="16">
        <v>8972987.350992905</v>
      </c>
      <c r="P94" s="16">
        <v>15498122.556759961</v>
      </c>
      <c r="Q94" s="16">
        <v>15811804.663652103</v>
      </c>
      <c r="R94" s="16">
        <v>16127406.823144438</v>
      </c>
      <c r="T94" s="15">
        <v>0</v>
      </c>
      <c r="U94" s="15">
        <v>0</v>
      </c>
      <c r="V94" s="15">
        <v>679132.46748591051</v>
      </c>
      <c r="W94" s="15">
        <v>1053560.1590041893</v>
      </c>
      <c r="X94" s="16">
        <v>1208348.5348235115</v>
      </c>
      <c r="Y94" s="16">
        <v>2657633.8500663354</v>
      </c>
      <c r="Z94" s="16">
        <v>2001701.1852345327</v>
      </c>
      <c r="AA94" s="16">
        <v>3105303.7808685252</v>
      </c>
      <c r="AB94" s="15">
        <v>4932656.5141803799</v>
      </c>
      <c r="AC94" s="15">
        <v>3616284.1390655255</v>
      </c>
      <c r="AD94" s="15">
        <v>2723746.255388651</v>
      </c>
      <c r="AE94" s="15">
        <v>4225435.6481254036</v>
      </c>
      <c r="AF94" s="16">
        <v>5032493.5158737535</v>
      </c>
      <c r="AG94" s="16">
        <v>3689477.7548540346</v>
      </c>
      <c r="AH94" s="16">
        <v>2778874.8982872213</v>
      </c>
      <c r="AI94" s="16">
        <v>4310958.4946370935</v>
      </c>
      <c r="AJ94" s="15">
        <v>5132941.6212625084</v>
      </c>
      <c r="AK94" s="15">
        <v>3763119.3897970458</v>
      </c>
      <c r="AL94" s="15">
        <v>2834340.9843864613</v>
      </c>
      <c r="AM94" s="15">
        <v>4397004.8276984226</v>
      </c>
    </row>
    <row r="95" spans="3:39" x14ac:dyDescent="0.25">
      <c r="C95" t="s">
        <v>8</v>
      </c>
      <c r="N95" s="16">
        <v>1074654.4251055974</v>
      </c>
      <c r="O95" s="16">
        <v>5628454.7628700919</v>
      </c>
      <c r="P95" s="16">
        <v>9828911.258937709</v>
      </c>
      <c r="Q95" s="16">
        <v>10137050.708377181</v>
      </c>
      <c r="R95" s="16">
        <v>10450811.403221413</v>
      </c>
      <c r="T95" s="15">
        <v>0</v>
      </c>
      <c r="U95" s="15">
        <v>0</v>
      </c>
      <c r="V95" s="15">
        <v>421213.03008891578</v>
      </c>
      <c r="W95" s="15">
        <v>653441.39501668152</v>
      </c>
      <c r="X95" s="16">
        <v>757956.60909762792</v>
      </c>
      <c r="Y95" s="16">
        <v>1667044.7997138239</v>
      </c>
      <c r="Z95" s="16">
        <v>1255600.1841047199</v>
      </c>
      <c r="AA95" s="16">
        <v>1947853.1699539195</v>
      </c>
      <c r="AB95" s="15">
        <v>3128291.3766579325</v>
      </c>
      <c r="AC95" s="15">
        <v>2293447.8521384117</v>
      </c>
      <c r="AD95" s="15">
        <v>1727400.2149635719</v>
      </c>
      <c r="AE95" s="15">
        <v>2679771.8151777927</v>
      </c>
      <c r="AF95" s="16">
        <v>3226364.2920699096</v>
      </c>
      <c r="AG95" s="16">
        <v>2365348.1613240754</v>
      </c>
      <c r="AH95" s="16">
        <v>1781554.7532616449</v>
      </c>
      <c r="AI95" s="16">
        <v>2763783.5017215521</v>
      </c>
      <c r="AJ95" s="15">
        <v>3326226.3063009232</v>
      </c>
      <c r="AK95" s="15">
        <v>2438560.1145830504</v>
      </c>
      <c r="AL95" s="15">
        <v>1836697.2077454205</v>
      </c>
      <c r="AM95" s="15">
        <v>2849327.7745920187</v>
      </c>
    </row>
    <row r="96" spans="3:39" x14ac:dyDescent="0.25">
      <c r="C96" t="s">
        <v>9</v>
      </c>
      <c r="N96" s="16">
        <v>868736.42033871915</v>
      </c>
      <c r="O96" s="16">
        <v>4480531.5214959159</v>
      </c>
      <c r="P96" s="16">
        <v>7708893.904657227</v>
      </c>
      <c r="Q96" s="16">
        <v>7839670.9823067188</v>
      </c>
      <c r="R96" s="16">
        <v>7975867.132114036</v>
      </c>
      <c r="T96" s="15">
        <v>0</v>
      </c>
      <c r="U96" s="15">
        <v>0</v>
      </c>
      <c r="V96" s="15">
        <v>340503.04117392312</v>
      </c>
      <c r="W96" s="15">
        <v>528233.37916479597</v>
      </c>
      <c r="X96" s="16">
        <v>603371.37315044331</v>
      </c>
      <c r="Y96" s="16">
        <v>1327051.0446556164</v>
      </c>
      <c r="Z96" s="16">
        <v>999520.55054068821</v>
      </c>
      <c r="AA96" s="16">
        <v>1550588.5531491679</v>
      </c>
      <c r="AB96" s="15">
        <v>2453544.0080996803</v>
      </c>
      <c r="AC96" s="15">
        <v>1798769.5383781325</v>
      </c>
      <c r="AD96" s="15">
        <v>1354813.8381987456</v>
      </c>
      <c r="AE96" s="15">
        <v>2101766.5199806681</v>
      </c>
      <c r="AF96" s="16">
        <v>2495167.0112480111</v>
      </c>
      <c r="AG96" s="16">
        <v>1829284.6585112428</v>
      </c>
      <c r="AH96" s="16">
        <v>1377797.4979442356</v>
      </c>
      <c r="AI96" s="16">
        <v>2137421.8146032286</v>
      </c>
      <c r="AJ96" s="15">
        <v>2538514.7666353448</v>
      </c>
      <c r="AK96" s="15">
        <v>1861064.2482354941</v>
      </c>
      <c r="AL96" s="15">
        <v>1401733.5425636675</v>
      </c>
      <c r="AM96" s="15">
        <v>2174554.5746795288</v>
      </c>
    </row>
    <row r="97" spans="3:39" x14ac:dyDescent="0.25">
      <c r="C97" t="s">
        <v>10</v>
      </c>
      <c r="N97" s="16">
        <v>1033250.3260021464</v>
      </c>
      <c r="O97" s="16">
        <v>5388276.9534995137</v>
      </c>
      <c r="P97" s="16">
        <v>9370996.7407934442</v>
      </c>
      <c r="Q97" s="16">
        <v>9625729.9213394411</v>
      </c>
      <c r="R97" s="16">
        <v>9882190.0605793707</v>
      </c>
      <c r="T97" s="15">
        <v>0</v>
      </c>
      <c r="U97" s="15">
        <v>0</v>
      </c>
      <c r="V97" s="15">
        <v>404984.60759881837</v>
      </c>
      <c r="W97" s="15">
        <v>628265.71840332798</v>
      </c>
      <c r="X97" s="16">
        <v>725613.03246058477</v>
      </c>
      <c r="Y97" s="16">
        <v>1595908.5491821221</v>
      </c>
      <c r="Z97" s="16">
        <v>1202021.1265536223</v>
      </c>
      <c r="AA97" s="16">
        <v>1864734.245303185</v>
      </c>
      <c r="AB97" s="15">
        <v>2982548.8828436178</v>
      </c>
      <c r="AC97" s="15">
        <v>2186599.4901546794</v>
      </c>
      <c r="AD97" s="15">
        <v>1646923.1797926556</v>
      </c>
      <c r="AE97" s="15">
        <v>2554925.1880024909</v>
      </c>
      <c r="AF97" s="16">
        <v>3063623.9471164858</v>
      </c>
      <c r="AG97" s="16">
        <v>2246038.1452000546</v>
      </c>
      <c r="AH97" s="16">
        <v>1691691.7344414101</v>
      </c>
      <c r="AI97" s="16">
        <v>2624376.0945814904</v>
      </c>
      <c r="AJ97" s="15">
        <v>3145248.6582269077</v>
      </c>
      <c r="AK97" s="15">
        <v>2305879.7634631237</v>
      </c>
      <c r="AL97" s="15">
        <v>1736763.7966446169</v>
      </c>
      <c r="AM97" s="15">
        <v>2694297.8422447215</v>
      </c>
    </row>
    <row r="98" spans="3:39" x14ac:dyDescent="0.25">
      <c r="C98" t="s">
        <v>11</v>
      </c>
      <c r="N98" s="16">
        <v>436268.72252807743</v>
      </c>
      <c r="O98" s="16">
        <v>2278210.141660125</v>
      </c>
      <c r="P98" s="16">
        <v>3967194.0435391441</v>
      </c>
      <c r="Q98" s="16">
        <v>4081048.6991474414</v>
      </c>
      <c r="R98" s="16">
        <v>4196896.1713446602</v>
      </c>
      <c r="T98" s="15">
        <v>0</v>
      </c>
      <c r="U98" s="15">
        <v>0</v>
      </c>
      <c r="V98" s="15">
        <v>170996.4303464485</v>
      </c>
      <c r="W98" s="15">
        <v>265272.29218162893</v>
      </c>
      <c r="X98" s="16">
        <v>306795.4716764933</v>
      </c>
      <c r="Y98" s="16">
        <v>674763.95019885909</v>
      </c>
      <c r="Z98" s="16">
        <v>508224.93807146471</v>
      </c>
      <c r="AA98" s="16">
        <v>788425.78171330784</v>
      </c>
      <c r="AB98" s="15">
        <v>1262656.5230861113</v>
      </c>
      <c r="AC98" s="15">
        <v>925692.82787018537</v>
      </c>
      <c r="AD98" s="15">
        <v>697221.86548181053</v>
      </c>
      <c r="AE98" s="15">
        <v>1081622.8271010371</v>
      </c>
      <c r="AF98" s="16">
        <v>1298893.5515777376</v>
      </c>
      <c r="AG98" s="16">
        <v>952259.32221342856</v>
      </c>
      <c r="AH98" s="16">
        <v>717231.46282083774</v>
      </c>
      <c r="AI98" s="16">
        <v>1112664.3625354373</v>
      </c>
      <c r="AJ98" s="15">
        <v>1335764.8426836203</v>
      </c>
      <c r="AK98" s="15">
        <v>979290.81423598353</v>
      </c>
      <c r="AL98" s="15">
        <v>737591.29140251223</v>
      </c>
      <c r="AM98" s="15">
        <v>1144249.2230225438</v>
      </c>
    </row>
    <row r="99" spans="3:39" x14ac:dyDescent="0.25">
      <c r="N99" s="17"/>
      <c r="O99" s="17"/>
      <c r="P99" s="17"/>
      <c r="Q99" s="17"/>
      <c r="R99" s="17"/>
      <c r="T99" s="11"/>
      <c r="U99" s="11"/>
      <c r="V99" s="11"/>
      <c r="W99" s="11"/>
      <c r="AB99" s="11"/>
      <c r="AC99" s="11"/>
      <c r="AD99" s="11"/>
      <c r="AE99" s="11"/>
      <c r="AJ99" s="11"/>
      <c r="AK99" s="11"/>
      <c r="AL99" s="11"/>
      <c r="AM99" s="11"/>
    </row>
    <row r="100" spans="3:39" x14ac:dyDescent="0.25">
      <c r="C100" s="12" t="s">
        <v>38</v>
      </c>
      <c r="N100" s="17"/>
      <c r="O100" s="17"/>
      <c r="P100" s="17"/>
      <c r="Q100" s="17"/>
      <c r="R100" s="17"/>
      <c r="T100" s="11"/>
      <c r="U100" s="11"/>
      <c r="V100" s="11"/>
      <c r="W100" s="11"/>
      <c r="AB100" s="11"/>
      <c r="AC100" s="11"/>
      <c r="AD100" s="11"/>
      <c r="AE100" s="11"/>
      <c r="AJ100" s="11"/>
      <c r="AK100" s="11"/>
      <c r="AL100" s="11"/>
      <c r="AM100" s="11"/>
    </row>
    <row r="101" spans="3:39" x14ac:dyDescent="0.25">
      <c r="C101" t="s">
        <v>13</v>
      </c>
      <c r="N101" s="16">
        <v>8374390.7686820468</v>
      </c>
      <c r="O101" s="16">
        <v>8627500.7350946888</v>
      </c>
      <c r="P101" s="16">
        <v>8886163.3117249999</v>
      </c>
      <c r="Q101" s="16">
        <v>9150075.3913799152</v>
      </c>
      <c r="R101" s="16">
        <v>9420325.0679126773</v>
      </c>
      <c r="T101" s="15">
        <v>2665354.6599690458</v>
      </c>
      <c r="U101" s="15">
        <v>1954054.5250051795</v>
      </c>
      <c r="V101" s="15">
        <v>1471772.8172442338</v>
      </c>
      <c r="W101" s="15">
        <v>2283208.766463588</v>
      </c>
      <c r="X101" s="16">
        <v>2745913.0966478628</v>
      </c>
      <c r="Y101" s="16">
        <v>2013114.424268797</v>
      </c>
      <c r="Z101" s="16">
        <v>1516256.0971184967</v>
      </c>
      <c r="AA101" s="16">
        <v>2352217.1170595321</v>
      </c>
      <c r="AB101" s="15">
        <v>2828238.7873189347</v>
      </c>
      <c r="AC101" s="15">
        <v>2073469.9524827623</v>
      </c>
      <c r="AD101" s="15">
        <v>1561715.2307603769</v>
      </c>
      <c r="AE101" s="15">
        <v>2422739.3411629256</v>
      </c>
      <c r="AF101" s="16">
        <v>2912235.260705506</v>
      </c>
      <c r="AG101" s="16">
        <v>2135050.3835490779</v>
      </c>
      <c r="AH101" s="16">
        <v>1608096.9480347938</v>
      </c>
      <c r="AI101" s="16">
        <v>2494692.7990905368</v>
      </c>
      <c r="AJ101" s="15">
        <v>2998248.8292859811</v>
      </c>
      <c r="AK101" s="15">
        <v>2198109.6099330341</v>
      </c>
      <c r="AL101" s="15">
        <v>1655592.4780114261</v>
      </c>
      <c r="AM101" s="15">
        <v>2568374.1506822375</v>
      </c>
    </row>
    <row r="102" spans="3:39" x14ac:dyDescent="0.25">
      <c r="C102" t="s">
        <v>14</v>
      </c>
      <c r="N102" s="16">
        <v>548224.21885060577</v>
      </c>
      <c r="O102" s="16">
        <v>561484.26910148677</v>
      </c>
      <c r="P102" s="16">
        <v>574779.95657809754</v>
      </c>
      <c r="Q102" s="16">
        <v>588175.16028667288</v>
      </c>
      <c r="R102" s="16">
        <v>601782.37241238169</v>
      </c>
      <c r="T102" s="15">
        <v>174485.76461058983</v>
      </c>
      <c r="U102" s="15">
        <v>127920.94913562885</v>
      </c>
      <c r="V102" s="15">
        <v>96348.680799171547</v>
      </c>
      <c r="W102" s="15">
        <v>149468.82430521553</v>
      </c>
      <c r="X102" s="16">
        <v>178706.09988080215</v>
      </c>
      <c r="Y102" s="16">
        <v>131015.00838247337</v>
      </c>
      <c r="Z102" s="16">
        <v>98679.092891657478</v>
      </c>
      <c r="AA102" s="16">
        <v>153084.06794655375</v>
      </c>
      <c r="AB102" s="15">
        <v>182937.77756962035</v>
      </c>
      <c r="AC102" s="15">
        <v>134117.38310970561</v>
      </c>
      <c r="AD102" s="15">
        <v>101015.76811438895</v>
      </c>
      <c r="AE102" s="15">
        <v>156709.02778438272</v>
      </c>
      <c r="AF102" s="16">
        <v>187201.12873295572</v>
      </c>
      <c r="AG102" s="16">
        <v>137242.97864771119</v>
      </c>
      <c r="AH102" s="16">
        <v>103369.93300163756</v>
      </c>
      <c r="AI102" s="16">
        <v>160361.11990436839</v>
      </c>
      <c r="AJ102" s="15">
        <v>191531.9567597631</v>
      </c>
      <c r="AK102" s="15">
        <v>140418.04357618134</v>
      </c>
      <c r="AL102" s="15">
        <v>105761.35770085137</v>
      </c>
      <c r="AM102" s="15">
        <v>164071.01437558583</v>
      </c>
    </row>
    <row r="103" spans="3:39" x14ac:dyDescent="0.25">
      <c r="C103" t="s">
        <v>15</v>
      </c>
      <c r="N103" s="16">
        <v>143067.31291031031</v>
      </c>
      <c r="O103" s="16">
        <v>142900.91101433552</v>
      </c>
      <c r="P103" s="16">
        <v>142698.4635381072</v>
      </c>
      <c r="Q103" s="16">
        <v>142449.58437316518</v>
      </c>
      <c r="R103" s="16">
        <v>142170.3577354353</v>
      </c>
      <c r="T103" s="15">
        <v>45534.671080886015</v>
      </c>
      <c r="U103" s="15">
        <v>33382.885739964207</v>
      </c>
      <c r="V103" s="15">
        <v>25143.629906191713</v>
      </c>
      <c r="W103" s="15">
        <v>39006.126183268374</v>
      </c>
      <c r="X103" s="16">
        <v>45481.709608091754</v>
      </c>
      <c r="Y103" s="16">
        <v>33344.058034548914</v>
      </c>
      <c r="Z103" s="16">
        <v>25114.385296762997</v>
      </c>
      <c r="AA103" s="16">
        <v>38960.758074931873</v>
      </c>
      <c r="AB103" s="15">
        <v>45417.275747878048</v>
      </c>
      <c r="AC103" s="15">
        <v>33296.819564560232</v>
      </c>
      <c r="AD103" s="15">
        <v>25078.805790066599</v>
      </c>
      <c r="AE103" s="15">
        <v>38905.562435602311</v>
      </c>
      <c r="AF103" s="16">
        <v>45338.063867232573</v>
      </c>
      <c r="AG103" s="16">
        <v>33238.746867468857</v>
      </c>
      <c r="AH103" s="16">
        <v>25035.066060233363</v>
      </c>
      <c r="AI103" s="16">
        <v>38837.70757823038</v>
      </c>
      <c r="AJ103" s="15">
        <v>45249.19316121727</v>
      </c>
      <c r="AK103" s="15">
        <v>33173.59298463376</v>
      </c>
      <c r="AL103" s="15">
        <v>24985.99285758342</v>
      </c>
      <c r="AM103" s="15">
        <v>38761.578732000846</v>
      </c>
    </row>
    <row r="104" spans="3:39" x14ac:dyDescent="0.25">
      <c r="C104" t="s">
        <v>7</v>
      </c>
      <c r="N104" s="16">
        <v>472849.37770679488</v>
      </c>
      <c r="O104" s="16">
        <v>1076442.8879248302</v>
      </c>
      <c r="P104" s="16">
        <v>1098549.5637732288</v>
      </c>
      <c r="Q104" s="16">
        <v>1120784.2144819065</v>
      </c>
      <c r="R104" s="16">
        <v>1143154.9638011502</v>
      </c>
      <c r="T104" s="15">
        <v>0</v>
      </c>
      <c r="U104" s="15">
        <v>0</v>
      </c>
      <c r="V104" s="15">
        <v>185334.2939894064</v>
      </c>
      <c r="W104" s="15">
        <v>287515.08371738851</v>
      </c>
      <c r="X104" s="16">
        <v>342604.27376408654</v>
      </c>
      <c r="Y104" s="16">
        <v>251173.86496047079</v>
      </c>
      <c r="Z104" s="16">
        <v>189181.44919728633</v>
      </c>
      <c r="AA104" s="16">
        <v>293483.30000298651</v>
      </c>
      <c r="AB104" s="15">
        <v>349640.26397716656</v>
      </c>
      <c r="AC104" s="15">
        <v>256332.16855145359</v>
      </c>
      <c r="AD104" s="15">
        <v>193066.62789171486</v>
      </c>
      <c r="AE104" s="15">
        <v>299510.50335289369</v>
      </c>
      <c r="AF104" s="16">
        <v>356716.98531918781</v>
      </c>
      <c r="AG104" s="16">
        <v>261520.33340180715</v>
      </c>
      <c r="AH104" s="16">
        <v>196974.29776500672</v>
      </c>
      <c r="AI104" s="16">
        <v>305572.5979959048</v>
      </c>
      <c r="AJ104" s="15">
        <v>363837.02337234752</v>
      </c>
      <c r="AK104" s="15">
        <v>266740.25508237904</v>
      </c>
      <c r="AL104" s="15">
        <v>200905.88654070333</v>
      </c>
      <c r="AM104" s="15">
        <v>311671.79880572023</v>
      </c>
    </row>
    <row r="105" spans="3:39" x14ac:dyDescent="0.25">
      <c r="C105" t="s">
        <v>10</v>
      </c>
      <c r="N105" s="16">
        <v>1198501.1110234254</v>
      </c>
      <c r="O105" s="16">
        <v>2747485.7122348575</v>
      </c>
      <c r="P105" s="16">
        <v>2823305.9754546229</v>
      </c>
      <c r="Q105" s="16">
        <v>2900052.3163909432</v>
      </c>
      <c r="R105" s="16">
        <v>2977318.957668284</v>
      </c>
      <c r="T105" s="15">
        <v>0</v>
      </c>
      <c r="U105" s="15">
        <v>0</v>
      </c>
      <c r="V105" s="15">
        <v>469754.99541585584</v>
      </c>
      <c r="W105" s="15">
        <v>728746.11560756958</v>
      </c>
      <c r="X105" s="16">
        <v>874454.51837400219</v>
      </c>
      <c r="Y105" s="16">
        <v>641089.8460168856</v>
      </c>
      <c r="Z105" s="16">
        <v>482861.96557204187</v>
      </c>
      <c r="AA105" s="16">
        <v>749079.38227192766</v>
      </c>
      <c r="AB105" s="15">
        <v>898586.17134733079</v>
      </c>
      <c r="AC105" s="15">
        <v>658781.5124943722</v>
      </c>
      <c r="AD105" s="15">
        <v>496187.13817092165</v>
      </c>
      <c r="AE105" s="15">
        <v>769751.15344199806</v>
      </c>
      <c r="AF105" s="16">
        <v>923012.57120141678</v>
      </c>
      <c r="AG105" s="16">
        <v>676689.26709128474</v>
      </c>
      <c r="AH105" s="16">
        <v>509675.06601343991</v>
      </c>
      <c r="AI105" s="16">
        <v>790675.4120848017</v>
      </c>
      <c r="AJ105" s="15">
        <v>947604.5693631086</v>
      </c>
      <c r="AK105" s="15">
        <v>694718.42696576496</v>
      </c>
      <c r="AL105" s="15">
        <v>523254.43500312569</v>
      </c>
      <c r="AM105" s="15">
        <v>811741.52633628494</v>
      </c>
    </row>
    <row r="106" spans="3:39" x14ac:dyDescent="0.25">
      <c r="C106" s="12"/>
      <c r="N106" s="17"/>
      <c r="O106" s="17"/>
      <c r="P106" s="17"/>
      <c r="Q106" s="17"/>
      <c r="R106" s="17"/>
      <c r="T106" s="15"/>
      <c r="U106" s="15"/>
      <c r="V106" s="15"/>
      <c r="W106" s="15"/>
      <c r="X106" s="16"/>
      <c r="Y106" s="16"/>
      <c r="Z106" s="16"/>
      <c r="AA106" s="16"/>
      <c r="AB106" s="15"/>
      <c r="AC106" s="15"/>
      <c r="AD106" s="15"/>
      <c r="AE106" s="15"/>
      <c r="AF106" s="16"/>
      <c r="AG106" s="16"/>
      <c r="AH106" s="16"/>
      <c r="AI106" s="16"/>
      <c r="AJ106" s="15"/>
      <c r="AK106" s="15"/>
      <c r="AL106" s="15"/>
      <c r="AM106" s="15"/>
    </row>
    <row r="107" spans="3:39" x14ac:dyDescent="0.25">
      <c r="C107" s="12" t="s">
        <v>39</v>
      </c>
      <c r="N107" s="17"/>
      <c r="O107" s="17"/>
      <c r="P107" s="17"/>
      <c r="Q107" s="17"/>
      <c r="R107" s="17"/>
      <c r="T107" s="15"/>
      <c r="U107" s="15"/>
      <c r="V107" s="15"/>
      <c r="W107" s="15"/>
      <c r="X107" s="16"/>
      <c r="Y107" s="16"/>
      <c r="Z107" s="16"/>
      <c r="AA107" s="16"/>
      <c r="AB107" s="15"/>
      <c r="AC107" s="15"/>
      <c r="AD107" s="15"/>
      <c r="AE107" s="15"/>
      <c r="AF107" s="16"/>
      <c r="AG107" s="16"/>
      <c r="AH107" s="16"/>
      <c r="AI107" s="16"/>
      <c r="AJ107" s="15"/>
      <c r="AK107" s="15"/>
      <c r="AL107" s="15"/>
      <c r="AM107" s="15"/>
    </row>
    <row r="108" spans="3:39" x14ac:dyDescent="0.25">
      <c r="C108" t="s">
        <v>13</v>
      </c>
      <c r="N108" s="16">
        <v>53151.319772871211</v>
      </c>
      <c r="O108" s="16">
        <v>52704.363602407269</v>
      </c>
      <c r="P108" s="16">
        <v>54284.502150945358</v>
      </c>
      <c r="Q108" s="16">
        <v>55896.709281640127</v>
      </c>
      <c r="R108" s="16">
        <v>57547.632028881453</v>
      </c>
      <c r="T108" s="15">
        <v>16916.707346631567</v>
      </c>
      <c r="U108" s="15">
        <v>12402.165098455482</v>
      </c>
      <c r="V108" s="15">
        <v>9341.1771438842279</v>
      </c>
      <c r="W108" s="15">
        <v>14491.270183899933</v>
      </c>
      <c r="X108" s="16">
        <v>16774.45261495567</v>
      </c>
      <c r="Y108" s="16">
        <v>12297.873723536575</v>
      </c>
      <c r="Z108" s="16">
        <v>9262.6260038241689</v>
      </c>
      <c r="AA108" s="16">
        <v>14369.411260090857</v>
      </c>
      <c r="AB108" s="15">
        <v>17277.370350714202</v>
      </c>
      <c r="AC108" s="15">
        <v>12666.578381128271</v>
      </c>
      <c r="AD108" s="15">
        <v>9540.3303798744546</v>
      </c>
      <c r="AE108" s="15">
        <v>14800.223039228435</v>
      </c>
      <c r="AF108" s="16">
        <v>17790.49469698935</v>
      </c>
      <c r="AG108" s="16">
        <v>13042.765822817897</v>
      </c>
      <c r="AH108" s="16">
        <v>9823.6707082954199</v>
      </c>
      <c r="AI108" s="16">
        <v>15239.778053537459</v>
      </c>
      <c r="AJ108" s="15">
        <v>18315.941235030597</v>
      </c>
      <c r="AK108" s="15">
        <v>13427.987047118206</v>
      </c>
      <c r="AL108" s="15">
        <v>10113.815184457997</v>
      </c>
      <c r="AM108" s="15">
        <v>15689.888562274655</v>
      </c>
    </row>
    <row r="109" spans="3:39" x14ac:dyDescent="0.25">
      <c r="C109" t="s">
        <v>14</v>
      </c>
      <c r="N109" s="16">
        <v>0</v>
      </c>
      <c r="O109" s="16">
        <v>0</v>
      </c>
      <c r="P109" s="16">
        <v>0</v>
      </c>
      <c r="Q109" s="16">
        <v>0</v>
      </c>
      <c r="R109" s="16">
        <v>0</v>
      </c>
      <c r="T109" s="15">
        <v>0</v>
      </c>
      <c r="U109" s="15">
        <v>0</v>
      </c>
      <c r="V109" s="15">
        <v>0</v>
      </c>
      <c r="W109" s="15">
        <v>0</v>
      </c>
      <c r="X109" s="16">
        <v>0</v>
      </c>
      <c r="Y109" s="16">
        <v>0</v>
      </c>
      <c r="Z109" s="16">
        <v>0</v>
      </c>
      <c r="AA109" s="16">
        <v>0</v>
      </c>
      <c r="AB109" s="15">
        <v>0</v>
      </c>
      <c r="AC109" s="15">
        <v>0</v>
      </c>
      <c r="AD109" s="15">
        <v>0</v>
      </c>
      <c r="AE109" s="15">
        <v>0</v>
      </c>
      <c r="AF109" s="16">
        <v>0</v>
      </c>
      <c r="AG109" s="16">
        <v>0</v>
      </c>
      <c r="AH109" s="16">
        <v>0</v>
      </c>
      <c r="AI109" s="16">
        <v>0</v>
      </c>
      <c r="AJ109" s="15">
        <v>0</v>
      </c>
      <c r="AK109" s="15">
        <v>0</v>
      </c>
      <c r="AL109" s="15">
        <v>0</v>
      </c>
      <c r="AM109" s="15">
        <v>0</v>
      </c>
    </row>
    <row r="110" spans="3:39" x14ac:dyDescent="0.25">
      <c r="C110" t="s">
        <v>15</v>
      </c>
      <c r="N110" s="16">
        <v>0</v>
      </c>
      <c r="O110" s="16">
        <v>0</v>
      </c>
      <c r="P110" s="16">
        <v>0</v>
      </c>
      <c r="Q110" s="16">
        <v>0</v>
      </c>
      <c r="R110" s="16">
        <v>0</v>
      </c>
      <c r="T110" s="15">
        <v>0</v>
      </c>
      <c r="U110" s="15">
        <v>0</v>
      </c>
      <c r="V110" s="15">
        <v>0</v>
      </c>
      <c r="W110" s="15">
        <v>0</v>
      </c>
      <c r="X110" s="16">
        <v>0</v>
      </c>
      <c r="Y110" s="16">
        <v>0</v>
      </c>
      <c r="Z110" s="16">
        <v>0</v>
      </c>
      <c r="AA110" s="16">
        <v>0</v>
      </c>
      <c r="AB110" s="15">
        <v>0</v>
      </c>
      <c r="AC110" s="15">
        <v>0</v>
      </c>
      <c r="AD110" s="15">
        <v>0</v>
      </c>
      <c r="AE110" s="15">
        <v>0</v>
      </c>
      <c r="AF110" s="16">
        <v>0</v>
      </c>
      <c r="AG110" s="16">
        <v>0</v>
      </c>
      <c r="AH110" s="16">
        <v>0</v>
      </c>
      <c r="AI110" s="16">
        <v>0</v>
      </c>
      <c r="AJ110" s="15">
        <v>0</v>
      </c>
      <c r="AK110" s="15">
        <v>0</v>
      </c>
      <c r="AL110" s="15">
        <v>0</v>
      </c>
      <c r="AM110" s="15">
        <v>0</v>
      </c>
    </row>
    <row r="111" spans="3:39" x14ac:dyDescent="0.25">
      <c r="C111" t="s">
        <v>7</v>
      </c>
      <c r="N111" s="16">
        <v>451461.59437203722</v>
      </c>
      <c r="O111" s="16">
        <v>989212.78348766069</v>
      </c>
      <c r="P111" s="16">
        <v>1009528.0334604783</v>
      </c>
      <c r="Q111" s="16">
        <v>1029960.887784787</v>
      </c>
      <c r="R111" s="16">
        <v>1050518.8118985826</v>
      </c>
      <c r="T111" s="15">
        <v>0</v>
      </c>
      <c r="U111" s="15">
        <v>0</v>
      </c>
      <c r="V111" s="15">
        <v>176951.30796631039</v>
      </c>
      <c r="W111" s="15">
        <v>274510.2864057268</v>
      </c>
      <c r="X111" s="16">
        <v>314841.15979277773</v>
      </c>
      <c r="Y111" s="16">
        <v>230819.86130810113</v>
      </c>
      <c r="Z111" s="16">
        <v>173851.03291958899</v>
      </c>
      <c r="AA111" s="16">
        <v>269700.7294671929</v>
      </c>
      <c r="AB111" s="15">
        <v>321306.98491118295</v>
      </c>
      <c r="AC111" s="15">
        <v>235560.15910796638</v>
      </c>
      <c r="AD111" s="15">
        <v>177421.37415531569</v>
      </c>
      <c r="AE111" s="15">
        <v>275239.51528601325</v>
      </c>
      <c r="AF111" s="16">
        <v>327810.2404904943</v>
      </c>
      <c r="AG111" s="16">
        <v>240327.89834465244</v>
      </c>
      <c r="AH111" s="16">
        <v>181012.38398562977</v>
      </c>
      <c r="AI111" s="16">
        <v>280810.36496401043</v>
      </c>
      <c r="AJ111" s="15">
        <v>334353.30258892308</v>
      </c>
      <c r="AK111" s="15">
        <v>245124.82098044647</v>
      </c>
      <c r="AL111" s="15">
        <v>184625.37443775981</v>
      </c>
      <c r="AM111" s="15">
        <v>286415.3138914532</v>
      </c>
    </row>
    <row r="112" spans="3:39" x14ac:dyDescent="0.25">
      <c r="C112" t="s">
        <v>10</v>
      </c>
      <c r="N112" s="16">
        <v>516967.16768028936</v>
      </c>
      <c r="O112" s="16">
        <v>1140671.7923024027</v>
      </c>
      <c r="P112" s="16">
        <v>1172150.039906966</v>
      </c>
      <c r="Q112" s="16">
        <v>1204012.7665732596</v>
      </c>
      <c r="R112" s="16">
        <v>1236091.505981632</v>
      </c>
      <c r="T112" s="15">
        <v>0</v>
      </c>
      <c r="U112" s="15">
        <v>0</v>
      </c>
      <c r="V112" s="15">
        <v>202626.35324253421</v>
      </c>
      <c r="W112" s="15">
        <v>314340.81443775515</v>
      </c>
      <c r="X112" s="16">
        <v>363046.69331628655</v>
      </c>
      <c r="Y112" s="16">
        <v>266160.83950009721</v>
      </c>
      <c r="Z112" s="16">
        <v>200469.47696616096</v>
      </c>
      <c r="AA112" s="16">
        <v>310994.78251985792</v>
      </c>
      <c r="AB112" s="15">
        <v>373065.41542491422</v>
      </c>
      <c r="AC112" s="15">
        <v>273505.8767535488</v>
      </c>
      <c r="AD112" s="15">
        <v>206001.67989752369</v>
      </c>
      <c r="AE112" s="15">
        <v>319577.0678309793</v>
      </c>
      <c r="AF112" s="16">
        <v>383206.50739746989</v>
      </c>
      <c r="AG112" s="16">
        <v>280940.62716597464</v>
      </c>
      <c r="AH112" s="16">
        <v>211601.45381374779</v>
      </c>
      <c r="AI112" s="16">
        <v>328264.17819606722</v>
      </c>
      <c r="AJ112" s="15">
        <v>393416.35070783814</v>
      </c>
      <c r="AK112" s="15">
        <v>288425.78132570308</v>
      </c>
      <c r="AL112" s="15">
        <v>217239.19128944172</v>
      </c>
      <c r="AM112" s="15">
        <v>337010.18265864905</v>
      </c>
    </row>
    <row r="113" spans="2:39" x14ac:dyDescent="0.25">
      <c r="T113" s="11"/>
      <c r="U113" s="11"/>
      <c r="V113" s="11"/>
      <c r="W113" s="11"/>
      <c r="AB113" s="11"/>
      <c r="AC113" s="11"/>
      <c r="AD113" s="11"/>
      <c r="AE113" s="11"/>
      <c r="AJ113" s="11"/>
      <c r="AK113" s="11"/>
      <c r="AL113" s="11"/>
      <c r="AM113" s="11"/>
    </row>
    <row r="114" spans="2:39" x14ac:dyDescent="0.25">
      <c r="B114" s="33" t="s">
        <v>22</v>
      </c>
      <c r="T114" s="11"/>
      <c r="U114" s="11"/>
      <c r="V114" s="11"/>
      <c r="W114" s="11"/>
      <c r="AB114" s="11"/>
      <c r="AC114" s="11"/>
      <c r="AD114" s="11"/>
      <c r="AE114" s="11"/>
      <c r="AJ114" s="11"/>
      <c r="AK114" s="11"/>
      <c r="AL114" s="11"/>
      <c r="AM114" s="11"/>
    </row>
    <row r="115" spans="2:39" x14ac:dyDescent="0.25">
      <c r="T115" s="11"/>
      <c r="U115" s="11"/>
      <c r="V115" s="11"/>
      <c r="W115" s="11"/>
      <c r="AB115" s="11"/>
      <c r="AC115" s="11"/>
      <c r="AD115" s="11"/>
      <c r="AE115" s="11"/>
      <c r="AJ115" s="11"/>
      <c r="AK115" s="11"/>
      <c r="AL115" s="11"/>
      <c r="AM115" s="11"/>
    </row>
    <row r="116" spans="2:39" x14ac:dyDescent="0.25">
      <c r="C116" s="34" t="s">
        <v>23</v>
      </c>
      <c r="N116" s="16">
        <v>17791227.832972117</v>
      </c>
      <c r="O116" s="16">
        <v>95103918.043132588</v>
      </c>
      <c r="P116" s="16">
        <v>165113128.23136732</v>
      </c>
      <c r="Q116" s="16">
        <v>169315517.90985614</v>
      </c>
      <c r="R116" s="16">
        <v>173561841.77825901</v>
      </c>
      <c r="T116" s="15">
        <v>0</v>
      </c>
      <c r="U116" s="15">
        <v>0</v>
      </c>
      <c r="V116" s="15">
        <v>6973308.6371389357</v>
      </c>
      <c r="W116" s="15">
        <v>10817919.19583318</v>
      </c>
      <c r="X116" s="16">
        <v>12807181.769923953</v>
      </c>
      <c r="Y116" s="16">
        <v>28168031.668672252</v>
      </c>
      <c r="Z116" s="16">
        <v>21215857.999211494</v>
      </c>
      <c r="AA116" s="16">
        <v>32912846.60532489</v>
      </c>
      <c r="AB116" s="15">
        <v>52551290.942780025</v>
      </c>
      <c r="AC116" s="15">
        <v>38526988.323120788</v>
      </c>
      <c r="AD116" s="15">
        <v>29018112.554512709</v>
      </c>
      <c r="AE116" s="15">
        <v>45016736.410953797</v>
      </c>
      <c r="AF116" s="16">
        <v>53888804.228457376</v>
      </c>
      <c r="AG116" s="16">
        <v>39507560.975378141</v>
      </c>
      <c r="AH116" s="16">
        <v>29756669.312503722</v>
      </c>
      <c r="AI116" s="16">
        <v>46162483.393516906</v>
      </c>
      <c r="AJ116" s="15">
        <v>55240300.644496545</v>
      </c>
      <c r="AK116" s="15">
        <v>40498385.096067712</v>
      </c>
      <c r="AL116" s="15">
        <v>30502947.366078984</v>
      </c>
      <c r="AM116" s="15">
        <v>47320208.671615764</v>
      </c>
    </row>
    <row r="117" spans="2:39" x14ac:dyDescent="0.25">
      <c r="C117" s="34" t="s">
        <v>24</v>
      </c>
      <c r="N117" s="16">
        <v>11758612.870998383</v>
      </c>
      <c r="O117" s="16">
        <v>15338403.454762667</v>
      </c>
      <c r="P117" s="16">
        <v>15761459.846587442</v>
      </c>
      <c r="Q117" s="16">
        <v>16191407.030552289</v>
      </c>
      <c r="R117" s="16">
        <v>16628909.669439025</v>
      </c>
      <c r="T117" s="15">
        <v>2902291.8030071533</v>
      </c>
      <c r="U117" s="15">
        <v>2127760.5249792277</v>
      </c>
      <c r="V117" s="15">
        <v>2637273.2557075885</v>
      </c>
      <c r="W117" s="15">
        <v>4091287.2873044116</v>
      </c>
      <c r="X117" s="16">
        <v>4881822.0039988654</v>
      </c>
      <c r="Y117" s="16">
        <v>3579015.7761949105</v>
      </c>
      <c r="Z117" s="16">
        <v>2695676.1259658192</v>
      </c>
      <c r="AA117" s="16">
        <v>4181889.5486030732</v>
      </c>
      <c r="AB117" s="15">
        <v>5016470.0466477415</v>
      </c>
      <c r="AC117" s="15">
        <v>3677730.4504454969</v>
      </c>
      <c r="AD117" s="15">
        <v>2770026.9551601824</v>
      </c>
      <c r="AE117" s="15">
        <v>4297232.3943340229</v>
      </c>
      <c r="AF117" s="16">
        <v>5153311.2524112528</v>
      </c>
      <c r="AG117" s="16">
        <v>3778053.0008907947</v>
      </c>
      <c r="AH117" s="16">
        <v>2845588.8193827844</v>
      </c>
      <c r="AI117" s="16">
        <v>4414453.9578674566</v>
      </c>
      <c r="AJ117" s="15">
        <v>5292557.1664742101</v>
      </c>
      <c r="AK117" s="15">
        <v>3880138.5178952613</v>
      </c>
      <c r="AL117" s="15">
        <v>2922478.5310253492</v>
      </c>
      <c r="AM117" s="15">
        <v>4533735.4540442051</v>
      </c>
    </row>
    <row r="118" spans="2:39" s="1" customFormat="1" x14ac:dyDescent="0.25">
      <c r="C118" s="1" t="s">
        <v>25</v>
      </c>
      <c r="N118" s="18">
        <v>29549840.703970499</v>
      </c>
      <c r="O118" s="18">
        <v>110442321.49789526</v>
      </c>
      <c r="P118" s="18">
        <v>180874588.07795477</v>
      </c>
      <c r="Q118" s="18">
        <v>185506924.94040844</v>
      </c>
      <c r="R118" s="18">
        <v>190190751.44769803</v>
      </c>
      <c r="T118" s="19">
        <v>2902291.8030071533</v>
      </c>
      <c r="U118" s="19">
        <v>2127760.5249792277</v>
      </c>
      <c r="V118" s="19">
        <v>9610581.8928465247</v>
      </c>
      <c r="W118" s="19">
        <v>14909206.483137593</v>
      </c>
      <c r="X118" s="18">
        <v>17689003.77392282</v>
      </c>
      <c r="Y118" s="18">
        <v>31747047.444867164</v>
      </c>
      <c r="Z118" s="18">
        <v>23911534.125177313</v>
      </c>
      <c r="AA118" s="18">
        <v>37094736.153927967</v>
      </c>
      <c r="AB118" s="19">
        <v>57567760.989427768</v>
      </c>
      <c r="AC118" s="19">
        <v>42204718.773566283</v>
      </c>
      <c r="AD118" s="19">
        <v>31788139.509672891</v>
      </c>
      <c r="AE118" s="19">
        <v>49313968.805287823</v>
      </c>
      <c r="AF118" s="18">
        <v>59042115.48086863</v>
      </c>
      <c r="AG118" s="18">
        <v>43285613.976268932</v>
      </c>
      <c r="AH118" s="18">
        <v>32602258.131886505</v>
      </c>
      <c r="AI118" s="18">
        <v>50576937.351384364</v>
      </c>
      <c r="AJ118" s="19">
        <v>60532857.810970753</v>
      </c>
      <c r="AK118" s="19">
        <v>44378523.613962971</v>
      </c>
      <c r="AL118" s="19">
        <v>33425425.897104334</v>
      </c>
      <c r="AM118" s="19">
        <v>51853944.125659972</v>
      </c>
    </row>
    <row r="119" spans="2:39" s="1" customFormat="1" x14ac:dyDescent="0.25">
      <c r="T119" s="35"/>
      <c r="U119" s="35"/>
      <c r="V119" s="35"/>
      <c r="W119" s="35"/>
      <c r="X119" s="36"/>
      <c r="Y119" s="36"/>
      <c r="Z119" s="36"/>
      <c r="AA119" s="36"/>
      <c r="AB119" s="35"/>
      <c r="AC119" s="35"/>
      <c r="AD119" s="35"/>
      <c r="AE119" s="35"/>
      <c r="AF119" s="36"/>
      <c r="AG119" s="36"/>
      <c r="AH119" s="36"/>
      <c r="AI119" s="36"/>
      <c r="AJ119" s="35"/>
      <c r="AK119" s="35"/>
      <c r="AL119" s="35"/>
      <c r="AM119" s="35"/>
    </row>
    <row r="120" spans="2:39" x14ac:dyDescent="0.25">
      <c r="C120" s="34" t="s">
        <v>23</v>
      </c>
      <c r="N120" s="25">
        <v>0.11209715689857808</v>
      </c>
      <c r="O120" s="25">
        <v>0.59086277237403639</v>
      </c>
      <c r="P120" s="25">
        <v>1</v>
      </c>
      <c r="Q120" s="25">
        <v>1</v>
      </c>
      <c r="R120" s="25">
        <v>1.0000000000000002</v>
      </c>
      <c r="T120" s="24">
        <v>0</v>
      </c>
      <c r="U120" s="24">
        <v>0</v>
      </c>
      <c r="V120" s="24">
        <v>0.25</v>
      </c>
      <c r="W120" s="24">
        <v>0.25</v>
      </c>
      <c r="X120" s="25">
        <v>0.25</v>
      </c>
      <c r="Y120" s="25">
        <v>0.75000000000000011</v>
      </c>
      <c r="Z120" s="25">
        <v>0.75</v>
      </c>
      <c r="AA120" s="25">
        <v>0.75</v>
      </c>
      <c r="AB120" s="24">
        <v>1</v>
      </c>
      <c r="AC120" s="24">
        <v>1</v>
      </c>
      <c r="AD120" s="24">
        <v>1</v>
      </c>
      <c r="AE120" s="24">
        <v>1</v>
      </c>
      <c r="AF120" s="25">
        <v>1</v>
      </c>
      <c r="AG120" s="25">
        <v>1</v>
      </c>
      <c r="AH120" s="25">
        <v>1</v>
      </c>
      <c r="AI120" s="25">
        <v>1</v>
      </c>
      <c r="AJ120" s="24">
        <v>1</v>
      </c>
      <c r="AK120" s="24">
        <v>1</v>
      </c>
      <c r="AL120" s="24">
        <v>1</v>
      </c>
      <c r="AM120" s="24">
        <v>1</v>
      </c>
    </row>
    <row r="121" spans="2:39" x14ac:dyDescent="0.25">
      <c r="C121" s="34" t="s">
        <v>24</v>
      </c>
      <c r="N121" s="25">
        <v>0.78358933592646407</v>
      </c>
      <c r="O121" s="25">
        <v>1</v>
      </c>
      <c r="P121" s="25">
        <v>0.99999999999999989</v>
      </c>
      <c r="Q121" s="25">
        <v>1</v>
      </c>
      <c r="R121" s="25">
        <v>1</v>
      </c>
      <c r="T121" s="24">
        <v>0.60767548513417025</v>
      </c>
      <c r="U121" s="24">
        <v>0.60767548513417025</v>
      </c>
      <c r="V121" s="24">
        <v>1</v>
      </c>
      <c r="W121" s="24">
        <v>1</v>
      </c>
      <c r="X121" s="25">
        <v>1</v>
      </c>
      <c r="Y121" s="25">
        <v>1</v>
      </c>
      <c r="Z121" s="25">
        <v>1</v>
      </c>
      <c r="AA121" s="25">
        <v>1</v>
      </c>
      <c r="AB121" s="24">
        <v>1</v>
      </c>
      <c r="AC121" s="24">
        <v>1</v>
      </c>
      <c r="AD121" s="24">
        <v>1</v>
      </c>
      <c r="AE121" s="24">
        <v>1</v>
      </c>
      <c r="AF121" s="25">
        <v>1</v>
      </c>
      <c r="AG121" s="25">
        <v>1</v>
      </c>
      <c r="AH121" s="25">
        <v>1</v>
      </c>
      <c r="AI121" s="25">
        <v>1</v>
      </c>
      <c r="AJ121" s="24">
        <v>1</v>
      </c>
      <c r="AK121" s="24">
        <v>1</v>
      </c>
      <c r="AL121" s="24">
        <v>1</v>
      </c>
      <c r="AM121" s="24">
        <v>1</v>
      </c>
    </row>
    <row r="122" spans="2:39" s="1" customFormat="1" x14ac:dyDescent="0.25">
      <c r="C122" s="1" t="s">
        <v>25</v>
      </c>
      <c r="N122" s="36">
        <v>0.17010170685630144</v>
      </c>
      <c r="O122" s="36">
        <v>0.62645920037370351</v>
      </c>
      <c r="P122" s="36">
        <v>1</v>
      </c>
      <c r="Q122" s="36">
        <v>1</v>
      </c>
      <c r="R122" s="36">
        <v>1.0000000000000002</v>
      </c>
      <c r="T122" s="35">
        <v>5.2491963624322381E-2</v>
      </c>
      <c r="U122" s="35">
        <v>5.2491963624322374E-2</v>
      </c>
      <c r="V122" s="35">
        <v>0.31478617894146155</v>
      </c>
      <c r="W122" s="35">
        <v>0.31478617894146155</v>
      </c>
      <c r="X122" s="36">
        <v>0.31525272988396252</v>
      </c>
      <c r="Y122" s="36">
        <v>0.77175090996132101</v>
      </c>
      <c r="Z122" s="36">
        <v>0.7717509099613209</v>
      </c>
      <c r="AA122" s="36">
        <v>0.7717509099613209</v>
      </c>
      <c r="AB122" s="35">
        <v>1</v>
      </c>
      <c r="AC122" s="35">
        <v>1</v>
      </c>
      <c r="AD122" s="35">
        <v>1</v>
      </c>
      <c r="AE122" s="35">
        <v>1</v>
      </c>
      <c r="AF122" s="36">
        <v>1</v>
      </c>
      <c r="AG122" s="36">
        <v>1</v>
      </c>
      <c r="AH122" s="36">
        <v>1</v>
      </c>
      <c r="AI122" s="36">
        <v>1</v>
      </c>
      <c r="AJ122" s="35">
        <v>0.5228574448390384</v>
      </c>
      <c r="AK122" s="35">
        <v>0.52285744483903851</v>
      </c>
      <c r="AL122" s="35">
        <v>0.52285744483903851</v>
      </c>
      <c r="AM122" s="35">
        <v>0.52285744483903851</v>
      </c>
    </row>
    <row r="123" spans="2:39" x14ac:dyDescent="0.25">
      <c r="T123" s="11"/>
      <c r="U123" s="11"/>
      <c r="V123" s="11"/>
      <c r="W123" s="11"/>
      <c r="AB123" s="11"/>
      <c r="AC123" s="11"/>
      <c r="AD123" s="11"/>
      <c r="AE123" s="11"/>
      <c r="AJ123" s="11"/>
      <c r="AK123" s="11"/>
      <c r="AL123" s="11"/>
      <c r="AM123" s="11"/>
    </row>
    <row r="124" spans="2:39" x14ac:dyDescent="0.25">
      <c r="B124" s="1" t="s">
        <v>26</v>
      </c>
      <c r="T124" s="11"/>
      <c r="U124" s="11"/>
      <c r="V124" s="11"/>
      <c r="W124" s="11"/>
      <c r="AB124" s="11"/>
      <c r="AC124" s="11"/>
      <c r="AD124" s="11"/>
      <c r="AE124" s="11"/>
      <c r="AJ124" s="11"/>
      <c r="AK124" s="11"/>
      <c r="AL124" s="11"/>
      <c r="AM124" s="11"/>
    </row>
    <row r="125" spans="2:39" x14ac:dyDescent="0.25">
      <c r="C125" t="s">
        <v>23</v>
      </c>
      <c r="N125" s="14">
        <v>122433992.20628464</v>
      </c>
      <c r="O125" s="14">
        <v>125665853.55452068</v>
      </c>
      <c r="P125" s="14">
        <v>128936030.05631477</v>
      </c>
      <c r="Q125" s="14">
        <v>132244726.88271293</v>
      </c>
      <c r="R125" s="14">
        <v>135590416.41795227</v>
      </c>
      <c r="T125" s="15">
        <v>30608498.051571161</v>
      </c>
      <c r="U125" s="15">
        <v>30608498.051571161</v>
      </c>
      <c r="V125" s="15">
        <v>30608498.051571161</v>
      </c>
      <c r="W125" s="15">
        <v>30608498.051571161</v>
      </c>
      <c r="X125" s="16">
        <v>31416463.38863017</v>
      </c>
      <c r="Y125" s="16">
        <v>32234007.514078692</v>
      </c>
      <c r="Z125" s="16">
        <v>33061181.720678233</v>
      </c>
      <c r="AA125" s="16">
        <v>33897604.104488067</v>
      </c>
      <c r="AB125" s="15">
        <v>32234007.514078692</v>
      </c>
      <c r="AC125" s="15">
        <v>32234007.514078692</v>
      </c>
      <c r="AD125" s="15">
        <v>32234007.514078692</v>
      </c>
      <c r="AE125" s="15">
        <v>32234007.514078692</v>
      </c>
      <c r="AF125" s="16">
        <v>33061181.720678233</v>
      </c>
      <c r="AG125" s="16">
        <v>33061181.720678233</v>
      </c>
      <c r="AH125" s="16">
        <v>33061181.720678233</v>
      </c>
      <c r="AI125" s="16">
        <v>33061181.720678233</v>
      </c>
      <c r="AJ125" s="15">
        <v>33897604.104488067</v>
      </c>
      <c r="AK125" s="15">
        <v>33897604.104488067</v>
      </c>
      <c r="AL125" s="15">
        <v>33897604.104488067</v>
      </c>
      <c r="AM125" s="15">
        <v>33897604.104488067</v>
      </c>
    </row>
    <row r="126" spans="2:39" x14ac:dyDescent="0.25">
      <c r="C126" t="s">
        <v>24</v>
      </c>
      <c r="N126" s="14">
        <v>20599720.07212374</v>
      </c>
      <c r="O126" s="14">
        <v>21143486.046636835</v>
      </c>
      <c r="P126" s="14">
        <v>21693698.608601607</v>
      </c>
      <c r="Q126" s="14">
        <v>22250392.278383192</v>
      </c>
      <c r="R126" s="14">
        <v>22813310.032123044</v>
      </c>
      <c r="T126" s="15">
        <v>5149930.018030935</v>
      </c>
      <c r="U126" s="15">
        <v>5149930.018030935</v>
      </c>
      <c r="V126" s="15">
        <v>5149930.018030935</v>
      </c>
      <c r="W126" s="15">
        <v>5149930.018030935</v>
      </c>
      <c r="X126" s="16">
        <v>5285871.5116592087</v>
      </c>
      <c r="Y126" s="16">
        <v>5423424.6521504018</v>
      </c>
      <c r="Z126" s="16">
        <v>5562598.0695957979</v>
      </c>
      <c r="AA126" s="16">
        <v>5703327.508030761</v>
      </c>
      <c r="AB126" s="15">
        <v>5423424.6521504018</v>
      </c>
      <c r="AC126" s="15">
        <v>5423424.6521504018</v>
      </c>
      <c r="AD126" s="15">
        <v>5423424.6521504018</v>
      </c>
      <c r="AE126" s="15">
        <v>5423424.6521504018</v>
      </c>
      <c r="AF126" s="16">
        <v>5562598.0695957979</v>
      </c>
      <c r="AG126" s="16">
        <v>5562598.0695957979</v>
      </c>
      <c r="AH126" s="16">
        <v>5562598.0695957979</v>
      </c>
      <c r="AI126" s="16">
        <v>5562598.0695957979</v>
      </c>
      <c r="AJ126" s="15">
        <v>5703327.508030761</v>
      </c>
      <c r="AK126" s="15">
        <v>5703327.508030761</v>
      </c>
      <c r="AL126" s="15">
        <v>5703327.508030761</v>
      </c>
      <c r="AM126" s="15">
        <v>5703327.508030761</v>
      </c>
    </row>
    <row r="127" spans="2:39" x14ac:dyDescent="0.25">
      <c r="T127" s="11"/>
      <c r="U127" s="11"/>
      <c r="V127" s="11"/>
      <c r="W127" s="11"/>
      <c r="AB127" s="11"/>
      <c r="AC127" s="11"/>
      <c r="AD127" s="11"/>
      <c r="AE127" s="11"/>
      <c r="AJ127" s="11"/>
      <c r="AK127" s="11"/>
      <c r="AL127" s="11"/>
      <c r="AM127" s="11"/>
    </row>
    <row r="128" spans="2:39" x14ac:dyDescent="0.25">
      <c r="T128" s="11"/>
      <c r="U128" s="11"/>
      <c r="V128" s="11"/>
      <c r="W128" s="11"/>
      <c r="AB128" s="11"/>
      <c r="AC128" s="11"/>
      <c r="AD128" s="11"/>
      <c r="AE128" s="11"/>
      <c r="AJ128" s="11"/>
      <c r="AK128" s="11"/>
      <c r="AL128" s="11"/>
      <c r="AM128" s="11"/>
    </row>
    <row r="129" spans="2:39" x14ac:dyDescent="0.25">
      <c r="M129" s="1" t="s">
        <v>27</v>
      </c>
      <c r="N129" s="37" t="s">
        <v>28</v>
      </c>
      <c r="O129" s="1" t="s">
        <v>29</v>
      </c>
      <c r="P129" s="1" t="s">
        <v>30</v>
      </c>
      <c r="Q129" s="1" t="s">
        <v>31</v>
      </c>
      <c r="R129" s="1" t="s">
        <v>32</v>
      </c>
      <c r="T129" s="11"/>
      <c r="U129" s="11"/>
      <c r="V129" s="11"/>
      <c r="W129" s="11"/>
      <c r="AB129" s="11"/>
      <c r="AC129" s="11"/>
      <c r="AD129" s="11"/>
      <c r="AE129" s="11"/>
      <c r="AJ129" s="11"/>
      <c r="AK129" s="11"/>
      <c r="AL129" s="11"/>
      <c r="AM129" s="11"/>
    </row>
    <row r="130" spans="2:39" x14ac:dyDescent="0.25">
      <c r="C130" t="s">
        <v>23</v>
      </c>
      <c r="M130" s="38">
        <v>0.16666666666666666</v>
      </c>
      <c r="N130" s="39">
        <v>46478</v>
      </c>
      <c r="O130" s="40">
        <v>46844</v>
      </c>
      <c r="P130" s="40">
        <v>47209</v>
      </c>
      <c r="Q130" s="40">
        <v>47574</v>
      </c>
      <c r="R130" s="41">
        <v>4</v>
      </c>
      <c r="T130" s="24">
        <v>0</v>
      </c>
      <c r="U130" s="24">
        <v>0</v>
      </c>
      <c r="V130" s="24">
        <v>0</v>
      </c>
      <c r="W130" s="24">
        <v>0</v>
      </c>
      <c r="X130" s="25">
        <v>0</v>
      </c>
      <c r="Y130" s="25">
        <v>0</v>
      </c>
      <c r="Z130" s="25">
        <v>0</v>
      </c>
      <c r="AA130" s="25">
        <v>0</v>
      </c>
      <c r="AB130" s="24">
        <v>0</v>
      </c>
      <c r="AC130" s="24">
        <v>0.16666666666666666</v>
      </c>
      <c r="AD130" s="24">
        <v>0.16666666666666666</v>
      </c>
      <c r="AE130" s="24">
        <v>0.16666666666666666</v>
      </c>
      <c r="AF130" s="25">
        <v>0.16666666666666666</v>
      </c>
      <c r="AG130" s="25">
        <v>0.33333333333333331</v>
      </c>
      <c r="AH130" s="25">
        <v>0.33333333333333331</v>
      </c>
      <c r="AI130" s="25">
        <v>0.33333333333333331</v>
      </c>
      <c r="AJ130" s="24">
        <v>0.33333333333333331</v>
      </c>
      <c r="AK130" s="24">
        <v>0.5</v>
      </c>
      <c r="AL130" s="24">
        <v>0.5</v>
      </c>
      <c r="AM130" s="24">
        <v>0.5</v>
      </c>
    </row>
    <row r="131" spans="2:39" x14ac:dyDescent="0.25">
      <c r="C131" t="s">
        <v>24</v>
      </c>
      <c r="M131" s="25">
        <v>0.16666666666666666</v>
      </c>
      <c r="N131" s="40">
        <v>46478</v>
      </c>
      <c r="O131" s="40">
        <v>46844</v>
      </c>
      <c r="P131" s="40">
        <v>47209</v>
      </c>
      <c r="Q131" s="40">
        <v>47574</v>
      </c>
      <c r="R131" s="40"/>
      <c r="T131" s="24">
        <v>0</v>
      </c>
      <c r="U131" s="24">
        <v>0</v>
      </c>
      <c r="V131" s="24">
        <v>0</v>
      </c>
      <c r="W131" s="24">
        <v>0</v>
      </c>
      <c r="X131" s="25">
        <v>0</v>
      </c>
      <c r="Y131" s="25">
        <v>0</v>
      </c>
      <c r="Z131" s="25">
        <v>0</v>
      </c>
      <c r="AA131" s="25">
        <v>0</v>
      </c>
      <c r="AB131" s="24">
        <v>0</v>
      </c>
      <c r="AC131" s="24">
        <v>0.16666666666666666</v>
      </c>
      <c r="AD131" s="24">
        <v>0.16666666666666666</v>
      </c>
      <c r="AE131" s="24">
        <v>0.16666666666666666</v>
      </c>
      <c r="AF131" s="25">
        <v>0.16666666666666666</v>
      </c>
      <c r="AG131" s="25">
        <v>0.33333333333333331</v>
      </c>
      <c r="AH131" s="25">
        <v>0.33333333333333331</v>
      </c>
      <c r="AI131" s="25">
        <v>0.33333333333333331</v>
      </c>
      <c r="AJ131" s="24">
        <v>0.33333333333333331</v>
      </c>
      <c r="AK131" s="24">
        <v>0.5</v>
      </c>
      <c r="AL131" s="24">
        <v>0.5</v>
      </c>
      <c r="AM131" s="24">
        <v>0.5</v>
      </c>
    </row>
    <row r="132" spans="2:39" x14ac:dyDescent="0.25">
      <c r="T132" s="11"/>
      <c r="U132" s="11"/>
      <c r="V132" s="11"/>
      <c r="W132" s="11"/>
      <c r="AB132" s="11"/>
      <c r="AC132" s="11"/>
      <c r="AD132" s="11"/>
      <c r="AE132" s="11"/>
      <c r="AJ132" s="11"/>
      <c r="AK132" s="11"/>
      <c r="AL132" s="11"/>
      <c r="AM132" s="11"/>
    </row>
    <row r="133" spans="2:39" x14ac:dyDescent="0.25">
      <c r="C133" s="34" t="s">
        <v>23</v>
      </c>
      <c r="T133" s="15">
        <v>0</v>
      </c>
      <c r="U133" s="15">
        <v>0</v>
      </c>
      <c r="V133" s="15">
        <v>0</v>
      </c>
      <c r="W133" s="15">
        <v>0</v>
      </c>
      <c r="X133" s="16">
        <v>0</v>
      </c>
      <c r="Y133" s="16">
        <v>0</v>
      </c>
      <c r="Z133" s="16">
        <v>0</v>
      </c>
      <c r="AA133" s="16">
        <v>0</v>
      </c>
      <c r="AB133" s="15">
        <v>0</v>
      </c>
      <c r="AC133" s="15">
        <v>5372334.5856797816</v>
      </c>
      <c r="AD133" s="15">
        <v>5372334.5856797816</v>
      </c>
      <c r="AE133" s="15">
        <v>5372334.5856797816</v>
      </c>
      <c r="AF133" s="16">
        <v>5510196.9534463715</v>
      </c>
      <c r="AG133" s="16">
        <v>11020393.906892743</v>
      </c>
      <c r="AH133" s="16">
        <v>11020393.906892743</v>
      </c>
      <c r="AI133" s="16">
        <v>11020393.906892743</v>
      </c>
      <c r="AJ133" s="15">
        <v>11299201.368162688</v>
      </c>
      <c r="AK133" s="15">
        <v>16948802.052244034</v>
      </c>
      <c r="AL133" s="15">
        <v>16948802.052244034</v>
      </c>
      <c r="AM133" s="15">
        <v>16948802.052244034</v>
      </c>
    </row>
    <row r="134" spans="2:39" x14ac:dyDescent="0.25">
      <c r="C134" s="34" t="s">
        <v>24</v>
      </c>
      <c r="T134" s="15">
        <v>0</v>
      </c>
      <c r="U134" s="15">
        <v>0</v>
      </c>
      <c r="V134" s="15">
        <v>0</v>
      </c>
      <c r="W134" s="15">
        <v>0</v>
      </c>
      <c r="X134" s="16">
        <v>0</v>
      </c>
      <c r="Y134" s="16">
        <v>0</v>
      </c>
      <c r="Z134" s="16">
        <v>0</v>
      </c>
      <c r="AA134" s="16">
        <v>0</v>
      </c>
      <c r="AB134" s="15">
        <v>0</v>
      </c>
      <c r="AC134" s="15">
        <v>903904.10869173356</v>
      </c>
      <c r="AD134" s="15">
        <v>903904.10869173356</v>
      </c>
      <c r="AE134" s="15">
        <v>903904.10869173356</v>
      </c>
      <c r="AF134" s="16">
        <v>927099.67826596624</v>
      </c>
      <c r="AG134" s="16">
        <v>1854199.3565319325</v>
      </c>
      <c r="AH134" s="16">
        <v>1854199.3565319325</v>
      </c>
      <c r="AI134" s="16">
        <v>1854199.3565319325</v>
      </c>
      <c r="AJ134" s="15">
        <v>1901109.169343587</v>
      </c>
      <c r="AK134" s="15">
        <v>2851663.7540153805</v>
      </c>
      <c r="AL134" s="15">
        <v>2851663.7540153805</v>
      </c>
      <c r="AM134" s="15">
        <v>2851663.7540153805</v>
      </c>
    </row>
    <row r="135" spans="2:39" s="1" customFormat="1" x14ac:dyDescent="0.25">
      <c r="C135" s="1" t="s">
        <v>33</v>
      </c>
      <c r="T135" s="19">
        <v>0</v>
      </c>
      <c r="U135" s="19">
        <v>0</v>
      </c>
      <c r="V135" s="19">
        <v>0</v>
      </c>
      <c r="W135" s="19">
        <v>0</v>
      </c>
      <c r="X135" s="18">
        <v>0</v>
      </c>
      <c r="Y135" s="18">
        <v>0</v>
      </c>
      <c r="Z135" s="18">
        <v>0</v>
      </c>
      <c r="AA135" s="18">
        <v>0</v>
      </c>
      <c r="AB135" s="19">
        <v>0</v>
      </c>
      <c r="AC135" s="19">
        <v>6276238.694371515</v>
      </c>
      <c r="AD135" s="19">
        <v>6276238.694371515</v>
      </c>
      <c r="AE135" s="19">
        <v>6276238.694371515</v>
      </c>
      <c r="AF135" s="18">
        <v>6437296.631712338</v>
      </c>
      <c r="AG135" s="18">
        <v>12874593.263424676</v>
      </c>
      <c r="AH135" s="18">
        <v>12874593.263424676</v>
      </c>
      <c r="AI135" s="18">
        <v>12874593.263424676</v>
      </c>
      <c r="AJ135" s="19">
        <v>13200310.537506275</v>
      </c>
      <c r="AK135" s="19">
        <v>19800465.806259416</v>
      </c>
      <c r="AL135" s="19">
        <v>19800465.806259416</v>
      </c>
      <c r="AM135" s="19">
        <v>19800465.806259416</v>
      </c>
    </row>
    <row r="136" spans="2:39" x14ac:dyDescent="0.25">
      <c r="T136" s="11"/>
      <c r="U136" s="11"/>
      <c r="V136" s="11"/>
      <c r="W136" s="11"/>
      <c r="AB136" s="11"/>
      <c r="AC136" s="11"/>
      <c r="AD136" s="11"/>
      <c r="AE136" s="11"/>
      <c r="AJ136" s="11"/>
      <c r="AK136" s="11"/>
      <c r="AL136" s="11"/>
      <c r="AM136" s="11"/>
    </row>
    <row r="137" spans="2:39" x14ac:dyDescent="0.25">
      <c r="B137" s="1" t="s">
        <v>34</v>
      </c>
      <c r="T137" s="11"/>
      <c r="U137" s="11"/>
      <c r="V137" s="11"/>
      <c r="W137" s="11"/>
      <c r="AB137" s="11"/>
      <c r="AC137" s="11"/>
      <c r="AD137" s="11"/>
      <c r="AE137" s="11"/>
      <c r="AJ137" s="11"/>
      <c r="AK137" s="11"/>
      <c r="AL137" s="11"/>
      <c r="AM137" s="11"/>
    </row>
    <row r="138" spans="2:39" x14ac:dyDescent="0.25">
      <c r="B138" s="1"/>
      <c r="T138" s="11"/>
      <c r="U138" s="11"/>
      <c r="V138" s="11"/>
      <c r="W138" s="11"/>
      <c r="AB138" s="11"/>
      <c r="AC138" s="11"/>
      <c r="AD138" s="11"/>
      <c r="AE138" s="11"/>
      <c r="AJ138" s="11"/>
      <c r="AK138" s="11"/>
      <c r="AL138" s="11"/>
      <c r="AM138" s="11"/>
    </row>
    <row r="139" spans="2:39" x14ac:dyDescent="0.25">
      <c r="C139" s="34" t="s">
        <v>23</v>
      </c>
      <c r="N139" s="16">
        <v>17791227.832972117</v>
      </c>
      <c r="O139" s="16">
        <v>95103918.043132588</v>
      </c>
      <c r="P139" s="16">
        <v>181230131.98840666</v>
      </c>
      <c r="Q139" s="16">
        <v>207886896.58398074</v>
      </c>
      <c r="R139" s="16">
        <v>235707449.30315381</v>
      </c>
      <c r="T139" s="15">
        <v>0</v>
      </c>
      <c r="U139" s="15">
        <v>0</v>
      </c>
      <c r="V139" s="15">
        <v>6973308.6371389357</v>
      </c>
      <c r="W139" s="15">
        <v>10817919.19583318</v>
      </c>
      <c r="X139" s="16">
        <v>12807181.769923953</v>
      </c>
      <c r="Y139" s="16">
        <v>28168031.668672252</v>
      </c>
      <c r="Z139" s="16">
        <v>21215857.999211494</v>
      </c>
      <c r="AA139" s="16">
        <v>32912846.60532489</v>
      </c>
      <c r="AB139" s="15">
        <v>52551290.942780025</v>
      </c>
      <c r="AC139" s="15">
        <v>43899322.908800572</v>
      </c>
      <c r="AD139" s="15">
        <v>34390447.140192494</v>
      </c>
      <c r="AE139" s="15">
        <v>50389070.996633582</v>
      </c>
      <c r="AF139" s="16">
        <v>59399001.18190375</v>
      </c>
      <c r="AG139" s="16">
        <v>50527954.882270887</v>
      </c>
      <c r="AH139" s="16">
        <v>40777063.219396465</v>
      </c>
      <c r="AI139" s="16">
        <v>57182877.300409645</v>
      </c>
      <c r="AJ139" s="15">
        <v>66539502.012659237</v>
      </c>
      <c r="AK139" s="15">
        <v>57447187.148311749</v>
      </c>
      <c r="AL139" s="15">
        <v>47451749.418323018</v>
      </c>
      <c r="AM139" s="15">
        <v>64269010.723859802</v>
      </c>
    </row>
    <row r="140" spans="2:39" x14ac:dyDescent="0.25">
      <c r="C140" s="34" t="s">
        <v>24</v>
      </c>
      <c r="N140" s="16">
        <v>11758612.870998383</v>
      </c>
      <c r="O140" s="16">
        <v>15338403.454762667</v>
      </c>
      <c r="P140" s="16">
        <v>18473172.172662642</v>
      </c>
      <c r="Q140" s="16">
        <v>22681104.778414056</v>
      </c>
      <c r="R140" s="16">
        <v>27085010.100828756</v>
      </c>
      <c r="T140" s="15">
        <v>2902291.8030071533</v>
      </c>
      <c r="U140" s="15">
        <v>2127760.5249792277</v>
      </c>
      <c r="V140" s="15">
        <v>2637273.2557075885</v>
      </c>
      <c r="W140" s="15">
        <v>4091287.2873044116</v>
      </c>
      <c r="X140" s="16">
        <v>4881822.0039988654</v>
      </c>
      <c r="Y140" s="16">
        <v>3579015.7761949105</v>
      </c>
      <c r="Z140" s="16">
        <v>2695676.1259658192</v>
      </c>
      <c r="AA140" s="16">
        <v>4181889.5486030732</v>
      </c>
      <c r="AB140" s="15">
        <v>5016470.0466477415</v>
      </c>
      <c r="AC140" s="15">
        <v>4581634.5591372307</v>
      </c>
      <c r="AD140" s="15">
        <v>3673931.0638519162</v>
      </c>
      <c r="AE140" s="15">
        <v>5201136.5030257562</v>
      </c>
      <c r="AF140" s="16">
        <v>6080410.9306772193</v>
      </c>
      <c r="AG140" s="16">
        <v>5632252.3574227272</v>
      </c>
      <c r="AH140" s="16">
        <v>4699788.1759147169</v>
      </c>
      <c r="AI140" s="16">
        <v>6268653.3143993896</v>
      </c>
      <c r="AJ140" s="15">
        <v>7193666.3358177971</v>
      </c>
      <c r="AK140" s="15">
        <v>6731802.2719106413</v>
      </c>
      <c r="AL140" s="15">
        <v>5774142.2850407297</v>
      </c>
      <c r="AM140" s="15">
        <v>7385399.2080595857</v>
      </c>
    </row>
    <row r="141" spans="2:39" x14ac:dyDescent="0.25">
      <c r="C141" s="1" t="s">
        <v>35</v>
      </c>
      <c r="N141" s="18">
        <v>29549840.703970499</v>
      </c>
      <c r="O141" s="18">
        <v>110442321.49789526</v>
      </c>
      <c r="P141" s="18">
        <v>199703304.1610693</v>
      </c>
      <c r="Q141" s="18">
        <v>230568001.36239481</v>
      </c>
      <c r="R141" s="18">
        <v>262792459.40398252</v>
      </c>
      <c r="S141" s="1"/>
      <c r="T141" s="19">
        <v>2902291.8030071533</v>
      </c>
      <c r="U141" s="19">
        <v>2127760.5249792277</v>
      </c>
      <c r="V141" s="19">
        <v>9610581.8928465247</v>
      </c>
      <c r="W141" s="19">
        <v>14909206.483137593</v>
      </c>
      <c r="X141" s="18">
        <v>17689003.77392282</v>
      </c>
      <c r="Y141" s="18">
        <v>31747047.444867164</v>
      </c>
      <c r="Z141" s="18">
        <v>23911534.125177313</v>
      </c>
      <c r="AA141" s="18">
        <v>37094736.153927967</v>
      </c>
      <c r="AB141" s="19">
        <v>57567760.989427768</v>
      </c>
      <c r="AC141" s="19">
        <v>48480957.467937805</v>
      </c>
      <c r="AD141" s="19">
        <v>38064378.204044409</v>
      </c>
      <c r="AE141" s="19">
        <v>55590207.499659337</v>
      </c>
      <c r="AF141" s="18">
        <v>65479412.11258097</v>
      </c>
      <c r="AG141" s="18">
        <v>56160207.239693612</v>
      </c>
      <c r="AH141" s="18">
        <v>45476851.395311184</v>
      </c>
      <c r="AI141" s="18">
        <v>63451530.614809036</v>
      </c>
      <c r="AJ141" s="19">
        <v>73733168.348477036</v>
      </c>
      <c r="AK141" s="19">
        <v>64178989.420222387</v>
      </c>
      <c r="AL141" s="19">
        <v>53225891.703363746</v>
      </c>
      <c r="AM141" s="19">
        <v>71654409.931919381</v>
      </c>
    </row>
    <row r="142" spans="2:39" x14ac:dyDescent="0.25">
      <c r="N142" s="1"/>
      <c r="O142" s="1"/>
      <c r="P142" s="1"/>
      <c r="Q142" s="1"/>
      <c r="R142" s="1"/>
      <c r="S142" s="1"/>
      <c r="T142" s="35"/>
      <c r="U142" s="35"/>
      <c r="V142" s="35"/>
      <c r="W142" s="35"/>
      <c r="X142" s="36"/>
      <c r="Y142" s="36"/>
      <c r="Z142" s="36"/>
      <c r="AA142" s="36"/>
      <c r="AB142" s="35"/>
      <c r="AC142" s="35"/>
      <c r="AD142" s="35"/>
      <c r="AE142" s="35"/>
      <c r="AF142" s="36"/>
      <c r="AG142" s="36"/>
      <c r="AH142" s="36"/>
      <c r="AI142" s="36"/>
      <c r="AJ142" s="35"/>
      <c r="AK142" s="35"/>
      <c r="AL142" s="35"/>
      <c r="AM142" s="35"/>
    </row>
    <row r="143" spans="2:39" x14ac:dyDescent="0.25">
      <c r="C143" s="34" t="s">
        <v>23</v>
      </c>
      <c r="N143" s="25">
        <v>6.3280972419566942E-2</v>
      </c>
      <c r="O143" s="25">
        <v>0.3318077455649982</v>
      </c>
      <c r="P143" s="25">
        <v>0.61632596754825852</v>
      </c>
      <c r="Q143" s="25">
        <v>0.68937103008049894</v>
      </c>
      <c r="R143" s="25">
        <v>0.76243159496365764</v>
      </c>
      <c r="T143" s="24">
        <v>0</v>
      </c>
      <c r="U143" s="24">
        <v>0</v>
      </c>
      <c r="V143" s="24">
        <v>0.11919832673680178</v>
      </c>
      <c r="W143" s="24">
        <v>0.14642519755817324</v>
      </c>
      <c r="X143" s="25">
        <v>0.15496584492514834</v>
      </c>
      <c r="Y143" s="25">
        <v>0.4036032878083009</v>
      </c>
      <c r="Z143" s="25">
        <v>0.34582243609842056</v>
      </c>
      <c r="AA143" s="25">
        <v>0.42314546644550693</v>
      </c>
      <c r="AB143" s="24">
        <v>0.61981607541925066</v>
      </c>
      <c r="AC143" s="24">
        <v>0.62038870976039084</v>
      </c>
      <c r="AD143" s="24">
        <v>0.56145725407841152</v>
      </c>
      <c r="AE143" s="24">
        <v>0.65227942717979959</v>
      </c>
      <c r="AF143" s="25">
        <v>0.68313985946646671</v>
      </c>
      <c r="AG143" s="25">
        <v>0.69627711608426079</v>
      </c>
      <c r="AH143" s="25">
        <v>0.64913177621846707</v>
      </c>
      <c r="AI143" s="25">
        <v>0.72179035415724202</v>
      </c>
      <c r="AJ143" s="24">
        <v>0.74647819241473934</v>
      </c>
      <c r="AK143" s="24">
        <v>0.77218123941394667</v>
      </c>
      <c r="AL143" s="24">
        <v>0.73682209755625883</v>
      </c>
      <c r="AM143" s="24">
        <v>0.79131668937001032</v>
      </c>
    </row>
    <row r="144" spans="2:39" x14ac:dyDescent="0.25">
      <c r="C144" s="34" t="s">
        <v>24</v>
      </c>
      <c r="N144" s="25">
        <v>0.33024420793627163</v>
      </c>
      <c r="O144" s="25">
        <v>0.42043884416058719</v>
      </c>
      <c r="P144" s="25">
        <v>0.49320768979695406</v>
      </c>
      <c r="Q144" s="25">
        <v>0.59001152875646012</v>
      </c>
      <c r="R144" s="25">
        <v>0.68670095916929541</v>
      </c>
      <c r="T144" s="24">
        <v>0.29239331620760045</v>
      </c>
      <c r="U144" s="24">
        <v>0.24594392682462513</v>
      </c>
      <c r="V144" s="24">
        <v>0.3386675758935816</v>
      </c>
      <c r="W144" s="24">
        <v>0.44272168396498351</v>
      </c>
      <c r="X144" s="25">
        <v>0.48013071956594122</v>
      </c>
      <c r="Y144" s="25">
        <v>0.39756061755498329</v>
      </c>
      <c r="Z144" s="25">
        <v>0.32642124275972834</v>
      </c>
      <c r="AA144" s="25">
        <v>0.42304478744820928</v>
      </c>
      <c r="AB144" s="24">
        <v>0.48050964031516963</v>
      </c>
      <c r="AC144" s="24">
        <v>0.50341242485038218</v>
      </c>
      <c r="AD144" s="24">
        <v>0.44839845768709513</v>
      </c>
      <c r="AE144" s="24">
        <v>0.53506017938435546</v>
      </c>
      <c r="AF144" s="25">
        <v>0.56741903537668048</v>
      </c>
      <c r="AG144" s="25">
        <v>0.60298284508440803</v>
      </c>
      <c r="AH144" s="25">
        <v>0.55895381941083877</v>
      </c>
      <c r="AI144" s="25">
        <v>0.62830716900583761</v>
      </c>
      <c r="AJ144" s="24">
        <v>0.65421442191886681</v>
      </c>
      <c r="AK144" s="24">
        <v>0.70243920661889836</v>
      </c>
      <c r="AL144" s="24">
        <v>0.66940321390214941</v>
      </c>
      <c r="AM144" s="24">
        <v>0.72143731414177292</v>
      </c>
    </row>
    <row r="145" spans="3:39" x14ac:dyDescent="0.25">
      <c r="C145" s="1" t="s">
        <v>35</v>
      </c>
      <c r="N145" s="36">
        <v>6.2149357494599398E-2</v>
      </c>
      <c r="O145" s="36">
        <v>0.22815684085233329</v>
      </c>
      <c r="P145" s="36">
        <v>0.40212704201607069</v>
      </c>
      <c r="Q145" s="36">
        <v>0.45269988423696222</v>
      </c>
      <c r="R145" s="36">
        <v>0.50328311561378769</v>
      </c>
      <c r="S145" s="1"/>
      <c r="T145" s="35">
        <v>2.0501797558126499E-2</v>
      </c>
      <c r="U145" s="35">
        <v>1.877542226845481E-2</v>
      </c>
      <c r="V145" s="35">
        <v>0.10204247629611447</v>
      </c>
      <c r="W145" s="35">
        <v>0.11795905115772581</v>
      </c>
      <c r="X145" s="36">
        <v>0.12280481760303712</v>
      </c>
      <c r="Y145" s="36">
        <v>0.27285535260191451</v>
      </c>
      <c r="Z145" s="36">
        <v>0.24425675731100324</v>
      </c>
      <c r="AA145" s="36">
        <v>0.28198114745006891</v>
      </c>
      <c r="AB145" s="35">
        <v>0.38955968766370669</v>
      </c>
      <c r="AC145" s="35">
        <v>0.40950510975734256</v>
      </c>
      <c r="AD145" s="35">
        <v>0.38658291634680275</v>
      </c>
      <c r="AE145" s="35">
        <v>0.42117578596152117</v>
      </c>
      <c r="AF145" s="36">
        <v>0.43205134732726502</v>
      </c>
      <c r="AG145" s="36">
        <v>0.4625400740700954</v>
      </c>
      <c r="AH145" s="36">
        <v>0.45034296109364341</v>
      </c>
      <c r="AI145" s="36">
        <v>0.46875022431462549</v>
      </c>
      <c r="AJ145" s="35">
        <v>0.47455253521493873</v>
      </c>
      <c r="AK145" s="35">
        <v>0.51558565969589842</v>
      </c>
      <c r="AL145" s="35">
        <v>0.51411425747779371</v>
      </c>
      <c r="AM145" s="35">
        <v>0.51633483226951737</v>
      </c>
    </row>
    <row r="146" spans="3:39" x14ac:dyDescent="0.25">
      <c r="T146" s="11"/>
      <c r="U146" s="11"/>
      <c r="V146" s="11"/>
      <c r="W146" s="11"/>
      <c r="AB146" s="11"/>
      <c r="AC146" s="11"/>
      <c r="AD146" s="11"/>
      <c r="AE146" s="11"/>
      <c r="AJ146" s="11"/>
      <c r="AK146" s="11"/>
      <c r="AL146" s="11"/>
      <c r="AM146" s="11"/>
    </row>
    <row r="147" spans="3:39" x14ac:dyDescent="0.25">
      <c r="T147" s="11"/>
      <c r="U147" s="11"/>
      <c r="V147" s="11"/>
      <c r="W147" s="11"/>
      <c r="AB147" s="11"/>
      <c r="AC147" s="11"/>
      <c r="AD147" s="11"/>
      <c r="AE147" s="11"/>
      <c r="AJ147" s="11"/>
      <c r="AK147" s="11"/>
      <c r="AL147" s="11"/>
      <c r="AM147" s="11"/>
    </row>
    <row r="148" spans="3:39" x14ac:dyDescent="0.25">
      <c r="T148" s="11"/>
      <c r="U148" s="11"/>
      <c r="V148" s="11"/>
      <c r="W148" s="11"/>
      <c r="AB148" s="11"/>
      <c r="AC148" s="11"/>
      <c r="AD148" s="11"/>
      <c r="AE148" s="11"/>
      <c r="AJ148" s="11"/>
      <c r="AK148" s="11"/>
      <c r="AL148" s="11"/>
      <c r="AM148" s="11"/>
    </row>
  </sheetData>
  <pageMargins left="0.70866141732283472" right="0.70866141732283472" top="0.74803149606299213" bottom="0.74803149606299213" header="0.31496062992125984" footer="0.31496062992125984"/>
  <pageSetup paperSize="9" scale="41" fitToHeight="0" orientation="landscape" r:id="rId1"/>
  <rowBreaks count="1" manualBreakCount="1">
    <brk id="78" max="39" man="1"/>
  </rowBreaks>
  <colBreaks count="1" manualBreakCount="1">
    <brk id="19" max="124" man="1"/>
  </colBreaks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Adoption</vt:lpstr>
      <vt:lpstr>Adoption!Print_Area</vt:lpstr>
      <vt:lpstr>Adoption!Print_Titles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Alex Mustetea</dc:creator>
  <cp:lastModifiedBy>Alex Mustetea</cp:lastModifiedBy>
  <dcterms:created xsi:type="dcterms:W3CDTF">2024-12-19T09:48:54Z</dcterms:created>
  <dcterms:modified xsi:type="dcterms:W3CDTF">2025-01-09T11:51:58Z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8c4fb5ca-4140-41c4-8643-f05c062d353f_Enabled">
    <vt:lpwstr>true</vt:lpwstr>
  </property>
  <property fmtid="{D5CDD505-2E9C-101B-9397-08002B2CF9AE}" pid="3" name="MSIP_Label_8c4fb5ca-4140-41c4-8643-f05c062d353f_SetDate">
    <vt:lpwstr>2024-12-19T09:49:50Z</vt:lpwstr>
  </property>
  <property fmtid="{D5CDD505-2E9C-101B-9397-08002B2CF9AE}" pid="4" name="MSIP_Label_8c4fb5ca-4140-41c4-8643-f05c062d353f_Method">
    <vt:lpwstr>Standard</vt:lpwstr>
  </property>
  <property fmtid="{D5CDD505-2E9C-101B-9397-08002B2CF9AE}" pid="5" name="MSIP_Label_8c4fb5ca-4140-41c4-8643-f05c062d353f_Name">
    <vt:lpwstr>defa4170-0d19-0005-0004-bc88714345d2</vt:lpwstr>
  </property>
  <property fmtid="{D5CDD505-2E9C-101B-9397-08002B2CF9AE}" pid="6" name="MSIP_Label_8c4fb5ca-4140-41c4-8643-f05c062d353f_SiteId">
    <vt:lpwstr>d199732d-4016-47f8-9888-f1ec3af6e10d</vt:lpwstr>
  </property>
  <property fmtid="{D5CDD505-2E9C-101B-9397-08002B2CF9AE}" pid="7" name="MSIP_Label_8c4fb5ca-4140-41c4-8643-f05c062d353f_ActionId">
    <vt:lpwstr>ca7b2d6b-69aa-463a-9d13-33776eebbd3b</vt:lpwstr>
  </property>
  <property fmtid="{D5CDD505-2E9C-101B-9397-08002B2CF9AE}" pid="8" name="MSIP_Label_8c4fb5ca-4140-41c4-8643-f05c062d353f_ContentBits">
    <vt:lpwstr>0</vt:lpwstr>
  </property>
</Properties>
</file>